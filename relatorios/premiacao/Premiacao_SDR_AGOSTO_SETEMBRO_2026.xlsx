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Negócios Fechados" state="visible" r:id="rId5"/>
    <sheet sheetId="3" name="Gabriel" state="visible" r:id="rId6"/>
    <sheet sheetId="4" name="Kailany" state="visible" r:id="rId7"/>
    <sheet sheetId="5" name="Larissa" state="visible" r:id="rId8"/>
    <sheet sheetId="6" name="Lawanny" state="visible" r:id="rId9"/>
  </sheets>
  <calcPr calcId="171027"/>
</workbook>
</file>

<file path=xl/sharedStrings.xml><?xml version="1.0" encoding="utf-8"?>
<sst xmlns="http://schemas.openxmlformats.org/spreadsheetml/2006/main" count="729" uniqueCount="256">
  <si>
    <t>PREMIAÇÃO SDR — GRUPO VIGNA — 21/08 → 18/09/2026</t>
  </si>
  <si>
    <t/>
  </si>
  <si>
    <t>— EQUIPE GABRIEL —</t>
  </si>
  <si>
    <t>SDR</t>
  </si>
  <si>
    <t>NOVAS</t>
  </si>
  <si>
    <t>FUPs</t>
  </si>
  <si>
    <t>TOTAL REUNIÕES</t>
  </si>
  <si>
    <t>COMISSÃO REUNIÕES</t>
  </si>
  <si>
    <t>FECHAMENTOS</t>
  </si>
  <si>
    <t>VALOR UNIT.</t>
  </si>
  <si>
    <t>COMISSÃO FECHAMENTOS</t>
  </si>
  <si>
    <t>TOTAL GERAL</t>
  </si>
  <si>
    <t>Gabriel</t>
  </si>
  <si>
    <t>(blocos)</t>
  </si>
  <si>
    <t>Kailany</t>
  </si>
  <si>
    <t>SUBTOTAL GABRIEL</t>
  </si>
  <si>
    <t>— EQUIPE PAOLA —</t>
  </si>
  <si>
    <t>Larissa</t>
  </si>
  <si>
    <t>Lawanny</t>
  </si>
  <si>
    <t>SUBTOTAL PAOLA</t>
  </si>
  <si>
    <t>TABELA DE VALORES</t>
  </si>
  <si>
    <t>── JÚNIOR (&lt;1 ano) ──────────────────────────</t>
  </si>
  <si>
    <t>REUNIÃO NOVA  VC</t>
  </si>
  <si>
    <t>R$ 7,50</t>
  </si>
  <si>
    <t>REUNIÃO NOVA  Presencial</t>
  </si>
  <si>
    <t>R$ 15,00</t>
  </si>
  <si>
    <t>REUNIÃO FUP   VC</t>
  </si>
  <si>
    <t>R$ 5,00</t>
  </si>
  <si>
    <t>REUNIÃO FUP   Presencial</t>
  </si>
  <si>
    <t>FECHAMENTO (flat)</t>
  </si>
  <si>
    <t>R$ 100,00</t>
  </si>
  <si>
    <t>── SÊNIOR (+1 ano) ─────────────────────────</t>
  </si>
  <si>
    <t>R$ 10,00</t>
  </si>
  <si>
    <t>R$ 25,00</t>
  </si>
  <si>
    <t>FECHAMENTO 1–5</t>
  </si>
  <si>
    <t>R$ 120,00/cada</t>
  </si>
  <si>
    <t>FECHAMENTO 6–10</t>
  </si>
  <si>
    <t>R$ 150,00/cada</t>
  </si>
  <si>
    <t>FECHAMENTO 11+</t>
  </si>
  <si>
    <t>R$ 180,00/cada</t>
  </si>
  <si>
    <t>SDRs sênior (+1 ano): Gabriel</t>
  </si>
  <si>
    <t>NEGÓCIOS FECHADOS — GRUPO VIGNA — 21/08 → 18/09/2026</t>
  </si>
  <si>
    <t>🟦 Júnior (&lt;1 ano): R$100/cada (flat)</t>
  </si>
  <si>
    <t>🟩 Sênior (+1 ano): R$120 (1–5)</t>
  </si>
  <si>
    <t>🟨 Sênior (+1 ano): R$150 (6–10)</t>
  </si>
  <si>
    <t>🟧 Sênior (+1 ano): R$180 (11+)</t>
  </si>
  <si>
    <t>GABRIEL  (+1 ano)</t>
  </si>
  <si>
    <t xml:space="preserve">  +1 ano: R$120 (1–5) | R$150 (6–10) | R$180 (11+)</t>
  </si>
  <si>
    <t>DATA FECHAMENTO</t>
  </si>
  <si>
    <t>EMPRESA</t>
  </si>
  <si>
    <t>PRODUTO / SERVIÇO</t>
  </si>
  <si>
    <t>VALOR</t>
  </si>
  <si>
    <t>LINK AGENDOR</t>
  </si>
  <si>
    <t>03/09/2026</t>
  </si>
  <si>
    <t>COOPER STANDARD AUTOMOTIVE</t>
  </si>
  <si>
    <t>VTAX - REVISÃO PREVIDENCIÁRIA</t>
  </si>
  <si>
    <t>https://beta.agendor.com.br/tasks?organizationId=549466</t>
  </si>
  <si>
    <t>31/08/2026</t>
  </si>
  <si>
    <t>TECNOLOGIA BANCARIA S.A.</t>
  </si>
  <si>
    <t>treinamento</t>
  </si>
  <si>
    <t>https://beta.agendor.com.br/tasks?organizationId=15602043</t>
  </si>
  <si>
    <t>27/08/2026</t>
  </si>
  <si>
    <t>RESOURCE TECNOLOGIA E INFORMATICA (QINTESS)</t>
  </si>
  <si>
    <t>VAA - CONTENCIOSO TRABALHISTA</t>
  </si>
  <si>
    <t>https://beta.agendor.com.br/tasks?organizationId=44839450</t>
  </si>
  <si>
    <t>VAA - NOTIFICAÇÃO EXTRAJUDICIAL</t>
  </si>
  <si>
    <t>TOTAL: 4 fechamento(s)</t>
  </si>
  <si>
    <t>KAILANY  (&lt;1 ano)</t>
  </si>
  <si>
    <t xml:space="preserve">  &lt;1 ano: R$100 por fechamento (flat)</t>
  </si>
  <si>
    <t>CABANELLOS ADVOCACIA</t>
  </si>
  <si>
    <t>CANAL DE DENUNCIA</t>
  </si>
  <si>
    <t>https://beta.agendor.com.br/tasks?organizationId=47834935</t>
  </si>
  <si>
    <t>TOTAL: 1 fechamento(s)</t>
  </si>
  <si>
    <t>LARISSA  (&lt;1 ano)</t>
  </si>
  <si>
    <t>24/08/2026</t>
  </si>
  <si>
    <t>TRANSPORTES BIANO LTDA</t>
  </si>
  <si>
    <t>https://beta.agendor.com.br/tasks?organizationId=36166825</t>
  </si>
  <si>
    <t>LAWANNY  (&lt;1 ano)</t>
  </si>
  <si>
    <t>(sem negócios no período)</t>
  </si>
  <si>
    <t>TOTAL GERAL — NEGÓCIOS FECHADOS</t>
  </si>
  <si>
    <t>PREMIAÇÃO — GABRIEL (Equipe Gabriel | +1 ano) — 21/08 → 18/09/2026</t>
  </si>
  <si>
    <t>NOVA VC: R$10 | NOVA Presencial: R$25 | FUP VC: R$5 | FUP Presencial: R$10</t>
  </si>
  <si>
    <t>DATA</t>
  </si>
  <si>
    <t>ÁREA</t>
  </si>
  <si>
    <t>TIPO</t>
  </si>
  <si>
    <t>MODALIDADE</t>
  </si>
  <si>
    <t>⚡ Altere TIPO e MODALIDADE → VALOR recalcula automaticamente</t>
  </si>
  <si>
    <t>21/08/2026</t>
  </si>
  <si>
    <t>BRASFRUT-FRUTOS DO BRASIL LTDA</t>
  </si>
  <si>
    <t>NOVA</t>
  </si>
  <si>
    <t>VIDEO CONFERÊNCIA</t>
  </si>
  <si>
    <t>https://beta.agendor.com.br/tasks?organizationId=38777145</t>
  </si>
  <si>
    <t>JAEPEL PAPEIS E EMBALAGENS S.A</t>
  </si>
  <si>
    <t>https://beta.agendor.com.br/tasks?organizationId=53561908</t>
  </si>
  <si>
    <t>25/08/2026</t>
  </si>
  <si>
    <t>PRODUTOS ITAPURANGA</t>
  </si>
  <si>
    <t>https://beta.agendor.com.br/tasks?organizationId=42063399</t>
  </si>
  <si>
    <t>26/08/2026</t>
  </si>
  <si>
    <t>INOVECTOR SISTEMAS DE CLIMATIZACAO LTDA</t>
  </si>
  <si>
    <t>https://beta.agendor.com.br/tasks?organizationId=53727441</t>
  </si>
  <si>
    <t>28/08/2026</t>
  </si>
  <si>
    <t>MAKEBETTER</t>
  </si>
  <si>
    <t>https://beta.agendor.com.br/tasks?organizationId=53731163</t>
  </si>
  <si>
    <t>RTS RIO S/A</t>
  </si>
  <si>
    <t>https://beta.agendor.com.br/tasks?organizationId=53711424</t>
  </si>
  <si>
    <t>FUP</t>
  </si>
  <si>
    <t>BLUESHIFT BRASIL LTDA</t>
  </si>
  <si>
    <t>https://beta.agendor.com.br/tasks?organizationId=53703052</t>
  </si>
  <si>
    <t>01/09/2026</t>
  </si>
  <si>
    <t>F.M.M. ROCHA LTDA</t>
  </si>
  <si>
    <t>https://beta.agendor.com.br/tasks?organizationId=53703033</t>
  </si>
  <si>
    <t>02/09/2026</t>
  </si>
  <si>
    <t>PAYONEER INC.</t>
  </si>
  <si>
    <t>https://beta.agendor.com.br/tasks?organizationId=53711354</t>
  </si>
  <si>
    <t>Colegio Santanna Educação</t>
  </si>
  <si>
    <t>https://beta.agendor.com.br/tasks?organizationId=53728320</t>
  </si>
  <si>
    <t>MD ENGENHARIA MANAGEMENT GROUP LTDA</t>
  </si>
  <si>
    <t>PRESENCIAL</t>
  </si>
  <si>
    <t>https://beta.agendor.com.br/tasks?organizationId=53765637</t>
  </si>
  <si>
    <t>NEXT4IT</t>
  </si>
  <si>
    <t>https://beta.agendor.com.br/tasks?organizationId=27284515</t>
  </si>
  <si>
    <t>INPET BRASIL EMBALAGENS PLASTICAS S.A.</t>
  </si>
  <si>
    <t>https://beta.agendor.com.br/tasks?organizationId=53561353</t>
  </si>
  <si>
    <t>SUL AMERICA COMPANHIA NACIONAL DE SEGUROS</t>
  </si>
  <si>
    <t>https://beta.agendor.com.br/tasks?organizationId=13010308</t>
  </si>
  <si>
    <t>04/09/2026</t>
  </si>
  <si>
    <t>NR1+ CANAL DE DENÚNCIAS + MODULO DE TREINAMENTO</t>
  </si>
  <si>
    <t>GLOBO CENTRAL DE USINAGEM LTDA.</t>
  </si>
  <si>
    <t>https://beta.agendor.com.br/tasks?organizationId=53703065</t>
  </si>
  <si>
    <t>08/09/2026</t>
  </si>
  <si>
    <t>Supertec Equipamentos De Protecao Ltda</t>
  </si>
  <si>
    <t>https://beta.agendor.com.br/tasks?organizationId=40317937</t>
  </si>
  <si>
    <t>10/09/2026</t>
  </si>
  <si>
    <t>GRUPO POLAR</t>
  </si>
  <si>
    <t>https://beta.agendor.com.br/tasks?organizationId=540722</t>
  </si>
  <si>
    <t>11/09/2026</t>
  </si>
  <si>
    <t>Fabiana Algozino Costa</t>
  </si>
  <si>
    <t>https://beta.agendor.com.br/tasks?organizationId=53914182</t>
  </si>
  <si>
    <t>CERPA CERVEJARIA PARAENSE S/A.</t>
  </si>
  <si>
    <t>https://beta.agendor.com.br/tasks?organizationId=2867028</t>
  </si>
  <si>
    <t>15/09/2026</t>
  </si>
  <si>
    <t>TOTAL</t>
  </si>
  <si>
    <t>18 N / 4 F</t>
  </si>
  <si>
    <t>PREMIAÇÃO — KAILANY (Equipe Gabriel | &lt;1 ano) — 21/08 → 18/09/2026</t>
  </si>
  <si>
    <t>NOVA VC: R$7,50 | NOVA Presencial: R$15 | FUP VC: R$5 | FUP Presencial: R$7,50</t>
  </si>
  <si>
    <t>PEDREIRA SANTO ANTONIO</t>
  </si>
  <si>
    <t>https://beta.agendor.com.br/tasks?organizationId=45907782</t>
  </si>
  <si>
    <t>TRANSPORTES F.S. S.A</t>
  </si>
  <si>
    <t>https://beta.agendor.com.br/tasks?organizationId=38472564</t>
  </si>
  <si>
    <t>BRINQUEDOS ESTRELA</t>
  </si>
  <si>
    <t>https://beta.agendor.com.br/tasks?organizationId=1177102</t>
  </si>
  <si>
    <t>TECFLUX LTDA</t>
  </si>
  <si>
    <t>https://beta.agendor.com.br/tasks?organizationId=551657</t>
  </si>
  <si>
    <t>Modec Servicos Petroleo</t>
  </si>
  <si>
    <t>https://beta.agendor.com.br/tasks?organizationId=52808276</t>
  </si>
  <si>
    <t>LUA NOVA IND E COMERCIO DE PRODUTOS ALIMENTICIOS LTDA - PANCO</t>
  </si>
  <si>
    <t>https://beta.agendor.com.br/tasks?organizationId=554643</t>
  </si>
  <si>
    <t>YBYRA CAPITAL S/A</t>
  </si>
  <si>
    <t>https://beta.agendor.com.br/tasks?organizationId=53834385</t>
  </si>
  <si>
    <t>UNICMAQ BRASIL COMERCIO DE MAQUINAS E INSTRUMENTOS LTDA</t>
  </si>
  <si>
    <t>https://beta.agendor.com.br/tasks?organizationId=50472679</t>
  </si>
  <si>
    <t>PROTOUR SEMINOVOS LTDA</t>
  </si>
  <si>
    <t>https://beta.agendor.com.br/tasks?organizationId=48393338</t>
  </si>
  <si>
    <t>CURTIDORA ITAUNA LTDA</t>
  </si>
  <si>
    <t>https://beta.agendor.com.br/tasks?organizationId=36801900</t>
  </si>
  <si>
    <t>BARBOSA, BARBOSA E CIA LTDA</t>
  </si>
  <si>
    <t>https://beta.agendor.com.br/tasks?organizationId=48562807</t>
  </si>
  <si>
    <t>MAURICEA ALIMENTOS DO NORDESTE LTDA</t>
  </si>
  <si>
    <t>https://beta.agendor.com.br/tasks?organizationId=28980150</t>
  </si>
  <si>
    <t>14/09/2026</t>
  </si>
  <si>
    <t>GDL TRANSPORTES E ARMAZENS GERAIS S/A</t>
  </si>
  <si>
    <t>https://beta.agendor.com.br/tasks?organizationId=52808283</t>
  </si>
  <si>
    <t>WB SOCIEDADE PRESTADORA DE SERVICOS DE ATIVOS VIRTUAIS LTDA</t>
  </si>
  <si>
    <t>https://beta.agendor.com.br/tasks?organizationId=53834545</t>
  </si>
  <si>
    <t>17/09/2026</t>
  </si>
  <si>
    <t>HIBISCO LINGERIE</t>
  </si>
  <si>
    <t>https://beta.agendor.com.br/tasks?organizationId=50982471</t>
  </si>
  <si>
    <t>SECONCI SAO PAULO</t>
  </si>
  <si>
    <t>https://beta.agendor.com.br/tasks?organizationId=545359</t>
  </si>
  <si>
    <t>18/09/2026</t>
  </si>
  <si>
    <t>FASTPAY</t>
  </si>
  <si>
    <t>https://beta.agendor.com.br/tasks?organizationId=50343568</t>
  </si>
  <si>
    <t>PINGO LELE</t>
  </si>
  <si>
    <t>https://beta.agendor.com.br/tasks?organizationId=43970423</t>
  </si>
  <si>
    <t>FCC - INDUSTRIA E COMERCIO LTDA.</t>
  </si>
  <si>
    <t>https://beta.agendor.com.br/tasks?organizationId=28670693</t>
  </si>
  <si>
    <t>Tait Comunicacoes Brasil</t>
  </si>
  <si>
    <t>https://beta.agendor.com.br/tasks?organizationId=41804385</t>
  </si>
  <si>
    <t>18 N / 2 F</t>
  </si>
  <si>
    <t>PREMIAÇÃO — LARISSA (Equipe Paola | &lt;1 ano) — 21/08 → 18/09/2026</t>
  </si>
  <si>
    <t>PIRAHY ALIMENTOS LTDA</t>
  </si>
  <si>
    <t>https://beta.agendor.com.br/tasks?organizationId=29171608</t>
  </si>
  <si>
    <t>Dzainer Produtos Plásticos</t>
  </si>
  <si>
    <t>https://beta.agendor.com.br/tasks?organizationId=19470882</t>
  </si>
  <si>
    <t>Gar Industria E Comercio Ltda</t>
  </si>
  <si>
    <t>https://beta.agendor.com.br/tasks?organizationId=42746809</t>
  </si>
  <si>
    <t>AGRALE</t>
  </si>
  <si>
    <t>https://beta.agendor.com.br/tasks?organizationId=550367</t>
  </si>
  <si>
    <t>INCOPY INDUSTRIA E COMERCIO DE PAPEIS LTDA</t>
  </si>
  <si>
    <t>https://beta.agendor.com.br/tasks?organizationId=32078095</t>
  </si>
  <si>
    <t>TAJ - COMERCIAL AGRICOLA LTDA</t>
  </si>
  <si>
    <t>https://beta.agendor.com.br/tasks?organizationId=37176531</t>
  </si>
  <si>
    <t>TRIVIUM INDUSTRIAS</t>
  </si>
  <si>
    <t>https://beta.agendor.com.br/tasks?organizationId=40935334</t>
  </si>
  <si>
    <t>TAMBORSUL INDUSTRIA E COMERCIO DE EMBALAGENS LTDA</t>
  </si>
  <si>
    <t>https://beta.agendor.com.br/tasks?organizationId=35460507</t>
  </si>
  <si>
    <t>Fribon Transportes Ltda</t>
  </si>
  <si>
    <t>https://beta.agendor.com.br/tasks?organizationId=39776763</t>
  </si>
  <si>
    <t>CISBRAFOL INDUSTRIA QUIMICA</t>
  </si>
  <si>
    <t>https://beta.agendor.com.br/tasks?organizationId=36801441</t>
  </si>
  <si>
    <t>Limpacto Comércio de Produtos de Limpeza Ltda</t>
  </si>
  <si>
    <t>https://beta.agendor.com.br/tasks?organizationId=43836032</t>
  </si>
  <si>
    <t>PHV ENGENHARIA LTDA</t>
  </si>
  <si>
    <t>https://beta.agendor.com.br/tasks?organizationId=32459343</t>
  </si>
  <si>
    <t>PROCOPIO INDUSTRIA E COMERCIO LTDA</t>
  </si>
  <si>
    <t>https://beta.agendor.com.br/tasks?organizationId=32117236</t>
  </si>
  <si>
    <t>EMBRASIL EMPRESA BRASILEIRA DE SEGURANCA LTDA</t>
  </si>
  <si>
    <t>https://beta.agendor.com.br/tasks?organizationId=545554</t>
  </si>
  <si>
    <t>FRANGO MARINGÁ- COROAVES Abatedouro  Ltda</t>
  </si>
  <si>
    <t>https://beta.agendor.com.br/tasks?organizationId=29203298</t>
  </si>
  <si>
    <t>MOBLER</t>
  </si>
  <si>
    <t>https://beta.agendor.com.br/tasks?organizationId=42491670</t>
  </si>
  <si>
    <t>14 N / 3 F</t>
  </si>
  <si>
    <t>PREMIAÇÃO — LAWANNY (Equipe Paola | &lt;1 ano) — 21/08 → 18/09/2026</t>
  </si>
  <si>
    <t>FLOWSCIENCE INSTRUMENTS COMERCIO LTDA</t>
  </si>
  <si>
    <t>https://beta.agendor.com.br/tasks?organizationId=40317938</t>
  </si>
  <si>
    <t>ALPHASITIO INCORPORACOES LTDA</t>
  </si>
  <si>
    <t>https://beta.agendor.com.br/tasks?organizationId=48462141</t>
  </si>
  <si>
    <t>OZLI DO BRASIL ILUMINACAO LTDA</t>
  </si>
  <si>
    <t>https://beta.agendor.com.br/tasks?organizationId=43641778</t>
  </si>
  <si>
    <t>CICLO FARMA INDUSTRIA</t>
  </si>
  <si>
    <t>https://beta.agendor.com.br/tasks?organizationId=39363948</t>
  </si>
  <si>
    <t>METALURGICA IGUACU LTDA</t>
  </si>
  <si>
    <t>https://beta.agendor.com.br/tasks?organizationId=38184078</t>
  </si>
  <si>
    <t>JUNDSONDAS POCOS ARTESIANOS LTDA</t>
  </si>
  <si>
    <t>https://beta.agendor.com.br/tasks?organizationId=35511261</t>
  </si>
  <si>
    <t>ENERGY GROUP</t>
  </si>
  <si>
    <t>https://beta.agendor.com.br/tasks?organizationId=44760338</t>
  </si>
  <si>
    <t>X5 COMPANY</t>
  </si>
  <si>
    <t>https://beta.agendor.com.br/tasks?organizationId=27827495</t>
  </si>
  <si>
    <t>PROEMAN - FERRAMENTAS INDUSTRIAIS LTDA</t>
  </si>
  <si>
    <t>https://beta.agendor.com.br/tasks?organizationId=39964565</t>
  </si>
  <si>
    <t>NARDINI AGROINDUSTRIAL LTDA</t>
  </si>
  <si>
    <t>https://beta.agendor.com.br/tasks?organizationId=552397</t>
  </si>
  <si>
    <t>GRUPO ZARIN</t>
  </si>
  <si>
    <t>https://beta.agendor.com.br/tasks?organizationId=25177481</t>
  </si>
  <si>
    <t>INTEGRATIVA</t>
  </si>
  <si>
    <t>https://beta.agendor.com.br/tasks?organizationId=17061062</t>
  </si>
  <si>
    <t>COOCERQUI</t>
  </si>
  <si>
    <t>https://beta.agendor.com.br/tasks?organizationId=45535151</t>
  </si>
  <si>
    <t>16/09/2026</t>
  </si>
  <si>
    <t>SICOOB</t>
  </si>
  <si>
    <t>https://beta.agendor.com.br/tasks?organizationId=34775255</t>
  </si>
  <si>
    <t>TECNOCOMP TECNOLOGIA E SERVICOS LTDA</t>
  </si>
  <si>
    <t>https://beta.agendor.com.br/tasks?organizationId=34484782</t>
  </si>
  <si>
    <t>14 N / 1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</si>
</sst>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8" x14ac:knownFonts="1">
    <font>
      <color theme="1"/>
      <family val="2"/>
      <scheme val="minor"/>
      <sz val="11"/>
      <name val="Calibri"/>
    </font>
    <font>
      <b/>
      <color rgb="FFFFFFFF"/>
      <sz val="14"/>
      <name val="Arial Narrow"/>
    </font>
    <font>
      <b/>
      <color rgb="FFFFFFFF"/>
      <sz val="10"/>
      <name val="Arial Narrow"/>
    </font>
    <font>
      <name val="Arial Narrow"/>
    </font>
    <font>
      <b/>
    </font>
    <font>
      <b/>
      <name val="Arial Narrow"/>
    </font>
    <font>
      <b/>
      <sz val="12"/>
      <name val="Arial Narrow"/>
    </font>
    <font>
      <b/>
      <sz val="12"/>
    </font>
    <font>
      <b/>
      <color rgb="FFFFFFFF"/>
      <sz val="12"/>
      <name val="Arial Narrow"/>
    </font>
    <font>
      <b/>
      <color rgb="FF1B2A4A"/>
      <sz val="9"/>
    </font>
    <font>
      <b/>
      <color rgb="FF2E6B30"/>
      <sz val="9"/>
    </font>
    <font>
      <b/>
      <color rgb="FF7A6000"/>
      <sz val="9"/>
    </font>
    <font>
      <b/>
      <color rgb="FF8B3A00"/>
      <sz val="9"/>
    </font>
    <font>
      <i/>
      <color rgb="FF555555"/>
      <sz val="9"/>
    </font>
    <font>
      <i/>
      <color rgb="FF888888"/>
    </font>
    <font>
      <b/>
      <sz val="11"/>
      <name val="Arial Narrow"/>
    </font>
    <font>
      <b/>
      <color rgb="FFFFFFFF"/>
      <sz val="11"/>
      <name val="Arial Narrow"/>
    </font>
    <font>
      <b/>
      <i/>
      <color rgb="FF1B2A4A"/>
      <sz val="9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1A4A2E"/>
      </patternFill>
    </fill>
    <fill>
      <patternFill patternType="solid">
        <fgColor rgb="FFD6EBCD"/>
      </patternFill>
    </fill>
    <fill>
      <patternFill patternType="solid">
        <fgColor rgb="FFD6E4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164" fontId="7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4" borderId="0" xfId="0" applyFont="1" applyFill="1"/>
    <xf numFmtId="0" fontId="13" fillId="0" borderId="0" xfId="0" applyFont="1"/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164" fontId="15" fillId="0" borderId="0" xfId="0" applyNumberFormat="1" applyFont="1" applyAlignment="1">
      <alignment horizontal="right"/>
    </xf>
    <xf numFmtId="0" fontId="16" fillId="2" borderId="0" xfId="0" applyFont="1" applyFill="1" applyAlignment="1">
      <alignment horizontal="center" vertical="center"/>
    </xf>
    <xf numFmtId="0" fontId="17" fillId="0" borderId="0" xfId="0" applyFont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FormatPr defaultRowHeight="15" outlineLevelRow="0" outlineLevelCol="0" x14ac:dyDescent="55"/>
  <cols>
    <col min="1" max="1" width="3" customWidth="1"/>
    <col min="2" max="2" width="25" customWidth="1"/>
    <col min="3" max="4" width="8" customWidth="1"/>
    <col min="5" max="5" width="14" customWidth="1"/>
    <col min="6" max="6" width="18" customWidth="1"/>
    <col min="7" max="8" width="13" customWidth="1"/>
    <col min="9" max="9" width="20" customWidth="1"/>
    <col min="10" max="10" width="16" customWidth="1"/>
  </cols>
  <sheetData>
    <row r="2" ht="36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ht="18" customHeight="1" spans="1:10" x14ac:dyDescent="0.25">
      <c r="A4" t="s">
        <v>1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ht="22" customHeight="1" spans="1:10" x14ac:dyDescent="0.25">
      <c r="A5" s="3" t="s">
        <v>1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ht="18" customHeight="1" spans="1:10" x14ac:dyDescent="0.25">
      <c r="A6" t="s">
        <v>1</v>
      </c>
      <c r="B6" s="4" t="s">
        <v>12</v>
      </c>
      <c r="C6">
        <v>18</v>
      </c>
      <c r="D6">
        <v>4</v>
      </c>
      <c r="E6">
        <v>22</v>
      </c>
      <c r="F6" s="5">
        <v>230</v>
      </c>
      <c r="G6" s="6">
        <v>4</v>
      </c>
      <c r="H6" s="5" t="s">
        <v>13</v>
      </c>
      <c r="I6" s="5">
        <v>480</v>
      </c>
      <c r="J6" s="7">
        <v>710</v>
      </c>
    </row>
    <row r="7" ht="18" customHeight="1" spans="1:10" x14ac:dyDescent="0.25">
      <c r="A7" t="s">
        <v>1</v>
      </c>
      <c r="B7" s="4" t="s">
        <v>14</v>
      </c>
      <c r="C7">
        <v>18</v>
      </c>
      <c r="D7">
        <v>2</v>
      </c>
      <c r="E7">
        <v>20</v>
      </c>
      <c r="F7" s="5">
        <v>145</v>
      </c>
      <c r="G7" s="6">
        <v>1</v>
      </c>
      <c r="H7" s="5" t="s">
        <v>13</v>
      </c>
      <c r="I7" s="5">
        <v>100</v>
      </c>
      <c r="J7" s="7">
        <v>245</v>
      </c>
    </row>
    <row r="8" ht="18" customHeight="1" spans="1:10" x14ac:dyDescent="0.25">
      <c r="A8" t="s">
        <v>1</v>
      </c>
      <c r="B8" s="8" t="s">
        <v>15</v>
      </c>
      <c r="C8" t="s">
        <v>1</v>
      </c>
      <c r="D8" t="s">
        <v>1</v>
      </c>
      <c r="E8" t="s">
        <v>1</v>
      </c>
      <c r="F8" s="7">
        <v>375</v>
      </c>
      <c r="G8">
        <v>5</v>
      </c>
      <c r="H8" t="s">
        <v>1</v>
      </c>
      <c r="I8" s="7">
        <v>580</v>
      </c>
      <c r="J8" s="7">
        <v>955</v>
      </c>
    </row>
    <row r="10" ht="18" customHeight="1" spans="1:10" x14ac:dyDescent="0.25">
      <c r="A10" t="s">
        <v>1</v>
      </c>
      <c r="B10" s="9" t="s">
        <v>16</v>
      </c>
      <c r="C10" s="9"/>
      <c r="D10" s="9"/>
      <c r="E10" s="9"/>
      <c r="F10" s="9"/>
      <c r="G10" s="9"/>
      <c r="H10" s="9"/>
      <c r="I10" s="9"/>
      <c r="J10" s="9"/>
    </row>
    <row r="11" ht="22" customHeight="1" spans="1:10" x14ac:dyDescent="0.25">
      <c r="A11" s="10" t="s">
        <v>1</v>
      </c>
      <c r="B11" s="10" t="s">
        <v>3</v>
      </c>
      <c r="C11" s="10" t="s">
        <v>4</v>
      </c>
      <c r="D11" s="10" t="s">
        <v>5</v>
      </c>
      <c r="E11" s="10" t="s">
        <v>6</v>
      </c>
      <c r="F11" s="10" t="s">
        <v>7</v>
      </c>
      <c r="G11" s="10" t="s">
        <v>8</v>
      </c>
      <c r="H11" s="10" t="s">
        <v>9</v>
      </c>
      <c r="I11" s="10" t="s">
        <v>10</v>
      </c>
      <c r="J11" s="10" t="s">
        <v>11</v>
      </c>
    </row>
    <row r="12" ht="18" customHeight="1" spans="1:10" x14ac:dyDescent="0.25">
      <c r="A12" t="s">
        <v>1</v>
      </c>
      <c r="B12" s="4" t="s">
        <v>17</v>
      </c>
      <c r="C12">
        <v>14</v>
      </c>
      <c r="D12">
        <v>3</v>
      </c>
      <c r="E12">
        <v>17</v>
      </c>
      <c r="F12" s="5">
        <v>120</v>
      </c>
      <c r="G12" s="6">
        <v>1</v>
      </c>
      <c r="H12" s="5" t="s">
        <v>13</v>
      </c>
      <c r="I12" s="5">
        <v>100</v>
      </c>
      <c r="J12" s="7">
        <v>220</v>
      </c>
    </row>
    <row r="13" ht="18" customHeight="1" spans="1:10" x14ac:dyDescent="0.25">
      <c r="A13" t="s">
        <v>1</v>
      </c>
      <c r="B13" s="4" t="s">
        <v>18</v>
      </c>
      <c r="C13">
        <v>14</v>
      </c>
      <c r="D13">
        <v>1</v>
      </c>
      <c r="E13">
        <v>15</v>
      </c>
      <c r="F13" s="5">
        <v>110</v>
      </c>
      <c r="G13" s="6">
        <v>0</v>
      </c>
      <c r="H13" s="5" t="s">
        <v>13</v>
      </c>
      <c r="I13" s="5">
        <v>0</v>
      </c>
      <c r="J13" s="7">
        <v>110</v>
      </c>
    </row>
    <row r="14" ht="18" customHeight="1" spans="1:10" x14ac:dyDescent="0.25">
      <c r="A14" t="s">
        <v>1</v>
      </c>
      <c r="B14" s="8" t="s">
        <v>19</v>
      </c>
      <c r="C14" t="s">
        <v>1</v>
      </c>
      <c r="D14" t="s">
        <v>1</v>
      </c>
      <c r="E14" t="s">
        <v>1</v>
      </c>
      <c r="F14" s="7">
        <v>230</v>
      </c>
      <c r="G14">
        <v>1</v>
      </c>
      <c r="H14" t="s">
        <v>1</v>
      </c>
      <c r="I14" s="7">
        <v>100</v>
      </c>
      <c r="J14" s="7">
        <v>330</v>
      </c>
    </row>
    <row r="16" ht="24" customHeight="1" spans="1:10" x14ac:dyDescent="0.25">
      <c r="A16" t="s">
        <v>1</v>
      </c>
      <c r="B16" s="11" t="s">
        <v>11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s="12">
        <v>1285</v>
      </c>
    </row>
    <row r="19" spans="1:2" x14ac:dyDescent="0.25">
      <c r="A19" t="s">
        <v>1</v>
      </c>
      <c r="B19" s="8" t="s">
        <v>20</v>
      </c>
    </row>
    <row r="20" spans="1:2" x14ac:dyDescent="0.25">
      <c r="A20" t="s">
        <v>1</v>
      </c>
      <c r="B20" t="s">
        <v>21</v>
      </c>
    </row>
    <row r="21" spans="1:6" x14ac:dyDescent="0.25">
      <c r="A21" t="s">
        <v>1</v>
      </c>
      <c r="B21" t="s">
        <v>22</v>
      </c>
      <c r="C21" t="s">
        <v>1</v>
      </c>
      <c r="D21" t="s">
        <v>1</v>
      </c>
      <c r="E21" t="s">
        <v>1</v>
      </c>
      <c r="F21" t="s">
        <v>23</v>
      </c>
    </row>
    <row r="22" spans="1:6" x14ac:dyDescent="0.25">
      <c r="A22" t="s">
        <v>1</v>
      </c>
      <c r="B22" t="s">
        <v>24</v>
      </c>
      <c r="C22" t="s">
        <v>1</v>
      </c>
      <c r="D22" t="s">
        <v>1</v>
      </c>
      <c r="E22" t="s">
        <v>1</v>
      </c>
      <c r="F22" t="s">
        <v>25</v>
      </c>
    </row>
    <row r="23" spans="1:6" x14ac:dyDescent="0.25">
      <c r="A23" t="s">
        <v>1</v>
      </c>
      <c r="B23" t="s">
        <v>26</v>
      </c>
      <c r="C23" t="s">
        <v>1</v>
      </c>
      <c r="D23" t="s">
        <v>1</v>
      </c>
      <c r="E23" t="s">
        <v>1</v>
      </c>
      <c r="F23" t="s">
        <v>27</v>
      </c>
    </row>
    <row r="24" spans="1:6" x14ac:dyDescent="0.25">
      <c r="A24" t="s">
        <v>1</v>
      </c>
      <c r="B24" t="s">
        <v>28</v>
      </c>
      <c r="C24" t="s">
        <v>1</v>
      </c>
      <c r="D24" t="s">
        <v>1</v>
      </c>
      <c r="E24" t="s">
        <v>1</v>
      </c>
      <c r="F24" t="s">
        <v>23</v>
      </c>
    </row>
    <row r="25" spans="1:6" x14ac:dyDescent="0.25">
      <c r="A25" t="s">
        <v>1</v>
      </c>
      <c r="B25" t="s">
        <v>29</v>
      </c>
      <c r="C25" t="s">
        <v>1</v>
      </c>
      <c r="D25" t="s">
        <v>1</v>
      </c>
      <c r="E25" t="s">
        <v>1</v>
      </c>
      <c r="F25" t="s">
        <v>30</v>
      </c>
    </row>
    <row r="26" spans="1:2" x14ac:dyDescent="0.25">
      <c r="A26" t="s">
        <v>1</v>
      </c>
      <c r="B26" t="s">
        <v>31</v>
      </c>
    </row>
    <row r="27" spans="1:6" x14ac:dyDescent="0.25">
      <c r="A27" t="s">
        <v>1</v>
      </c>
      <c r="B27" t="s">
        <v>22</v>
      </c>
      <c r="C27" t="s">
        <v>1</v>
      </c>
      <c r="D27" t="s">
        <v>1</v>
      </c>
      <c r="E27" t="s">
        <v>1</v>
      </c>
      <c r="F27" t="s">
        <v>32</v>
      </c>
    </row>
    <row r="28" spans="1:6" x14ac:dyDescent="0.25">
      <c r="A28" t="s">
        <v>1</v>
      </c>
      <c r="B28" t="s">
        <v>24</v>
      </c>
      <c r="C28" t="s">
        <v>1</v>
      </c>
      <c r="D28" t="s">
        <v>1</v>
      </c>
      <c r="E28" t="s">
        <v>1</v>
      </c>
      <c r="F28" t="s">
        <v>33</v>
      </c>
    </row>
    <row r="29" spans="1:6" x14ac:dyDescent="0.25">
      <c r="A29" t="s">
        <v>1</v>
      </c>
      <c r="B29" t="s">
        <v>26</v>
      </c>
      <c r="C29" t="s">
        <v>1</v>
      </c>
      <c r="D29" t="s">
        <v>1</v>
      </c>
      <c r="E29" t="s">
        <v>1</v>
      </c>
      <c r="F29" t="s">
        <v>27</v>
      </c>
    </row>
    <row r="30" spans="1:6" x14ac:dyDescent="0.25">
      <c r="A30" t="s">
        <v>1</v>
      </c>
      <c r="B30" t="s">
        <v>28</v>
      </c>
      <c r="C30" t="s">
        <v>1</v>
      </c>
      <c r="D30" t="s">
        <v>1</v>
      </c>
      <c r="E30" t="s">
        <v>1</v>
      </c>
      <c r="F30" t="s">
        <v>32</v>
      </c>
    </row>
    <row r="31" spans="1:6" x14ac:dyDescent="0.25">
      <c r="A31" t="s">
        <v>1</v>
      </c>
      <c r="B31" t="s">
        <v>34</v>
      </c>
      <c r="C31" t="s">
        <v>1</v>
      </c>
      <c r="D31" t="s">
        <v>1</v>
      </c>
      <c r="E31" t="s">
        <v>1</v>
      </c>
      <c r="F31" t="s">
        <v>35</v>
      </c>
    </row>
    <row r="32" spans="1:6" x14ac:dyDescent="0.25">
      <c r="A32" t="s">
        <v>1</v>
      </c>
      <c r="B32" t="s">
        <v>36</v>
      </c>
      <c r="C32" t="s">
        <v>1</v>
      </c>
      <c r="D32" t="s">
        <v>1</v>
      </c>
      <c r="E32" t="s">
        <v>1</v>
      </c>
      <c r="F32" t="s">
        <v>37</v>
      </c>
    </row>
    <row r="33" spans="1:6" x14ac:dyDescent="0.25">
      <c r="A33" t="s">
        <v>1</v>
      </c>
      <c r="B33" t="s">
        <v>38</v>
      </c>
      <c r="C33" t="s">
        <v>1</v>
      </c>
      <c r="D33" t="s">
        <v>1</v>
      </c>
      <c r="E33" t="s">
        <v>1</v>
      </c>
      <c r="F33" t="s">
        <v>39</v>
      </c>
    </row>
    <row r="34" spans="1:2" x14ac:dyDescent="0.25">
      <c r="A34" t="s">
        <v>1</v>
      </c>
      <c r="B34" t="s">
        <v>40</v>
      </c>
    </row>
  </sheetData>
  <mergeCells count="3">
    <mergeCell ref="B2:J2"/>
    <mergeCell ref="B4:J4"/>
    <mergeCell ref="B10:J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3" t="s">
        <v>41</v>
      </c>
      <c r="B1" s="13"/>
      <c r="C1" s="13"/>
      <c r="D1" s="13"/>
      <c r="E1" s="13"/>
    </row>
    <row r="3" ht="14" customHeight="1" spans="1:4" x14ac:dyDescent="0.25">
      <c r="A3" s="14" t="s">
        <v>42</v>
      </c>
      <c r="B3" s="15" t="s">
        <v>43</v>
      </c>
      <c r="C3" s="16" t="s">
        <v>44</v>
      </c>
      <c r="D3" s="17" t="s">
        <v>45</v>
      </c>
    </row>
    <row r="5" ht="18" customHeight="1" spans="1:5" x14ac:dyDescent="0.25">
      <c r="A5" s="18" t="s">
        <v>46</v>
      </c>
      <c r="B5" s="18"/>
      <c r="C5" s="18"/>
      <c r="D5" s="18"/>
      <c r="E5" s="18"/>
    </row>
    <row r="6" ht="13" customHeight="1" spans="1:2" x14ac:dyDescent="0.25">
      <c r="A6" t="s">
        <v>1</v>
      </c>
      <c r="B6" s="19" t="s">
        <v>47</v>
      </c>
    </row>
    <row r="7" ht="22" customHeight="1" spans="1:5" x14ac:dyDescent="0.25">
      <c r="A7" s="20" t="s">
        <v>48</v>
      </c>
      <c r="B7" s="20" t="s">
        <v>49</v>
      </c>
      <c r="C7" s="20" t="s">
        <v>50</v>
      </c>
      <c r="D7" s="20" t="s">
        <v>51</v>
      </c>
      <c r="E7" s="20" t="s">
        <v>52</v>
      </c>
    </row>
    <row r="8" ht="18" customHeight="1" spans="1:5" x14ac:dyDescent="0.25">
      <c r="A8" s="21" t="s">
        <v>53</v>
      </c>
      <c r="B8" s="22" t="s">
        <v>54</v>
      </c>
      <c r="C8" s="22" t="s">
        <v>55</v>
      </c>
      <c r="D8" s="23">
        <f>=IF(ROW()-8+1&lt;=5,120,IF(ROW()-8+1&lt;=10,150,180))</f>
        <v>120</v>
      </c>
      <c r="E8" s="22" t="s">
        <v>56</v>
      </c>
    </row>
    <row r="9" ht="18" customHeight="1" spans="1:5" x14ac:dyDescent="0.25">
      <c r="A9" s="21" t="s">
        <v>57</v>
      </c>
      <c r="B9" s="22" t="s">
        <v>58</v>
      </c>
      <c r="C9" s="22" t="s">
        <v>59</v>
      </c>
      <c r="D9" s="23">
        <f>=IF(ROW()-8+1&lt;=5,120,IF(ROW()-8+1&lt;=10,150,180))</f>
        <v>120</v>
      </c>
      <c r="E9" s="22" t="s">
        <v>60</v>
      </c>
    </row>
    <row r="10" ht="18" customHeight="1" spans="1:5" x14ac:dyDescent="0.25">
      <c r="A10" s="21" t="s">
        <v>61</v>
      </c>
      <c r="B10" s="22" t="s">
        <v>62</v>
      </c>
      <c r="C10" s="22" t="s">
        <v>63</v>
      </c>
      <c r="D10" s="23">
        <f>=IF(ROW()-8+1&lt;=5,120,IF(ROW()-8+1&lt;=10,150,180))</f>
        <v>120</v>
      </c>
      <c r="E10" s="22" t="s">
        <v>64</v>
      </c>
    </row>
    <row r="11" ht="18" customHeight="1" spans="1:5" x14ac:dyDescent="0.25">
      <c r="A11" s="21" t="s">
        <v>61</v>
      </c>
      <c r="B11" s="22" t="s">
        <v>62</v>
      </c>
      <c r="C11" s="22" t="s">
        <v>65</v>
      </c>
      <c r="D11" s="23">
        <f>=IF(ROW()-8+1&lt;=5,120,IF(ROW()-8+1&lt;=10,150,180))</f>
        <v>120</v>
      </c>
      <c r="E11" s="22" t="s">
        <v>64</v>
      </c>
    </row>
    <row r="12" ht="18" customHeight="1" spans="1:5" x14ac:dyDescent="0.25">
      <c r="A12" t="s">
        <v>1</v>
      </c>
      <c r="B12" s="8" t="s">
        <v>66</v>
      </c>
      <c r="C12" t="s">
        <v>1</v>
      </c>
      <c r="D12" s="24">
        <f>=SUM(D8:D11)</f>
        <v>480</v>
      </c>
      <c r="E12" t="s">
        <v>1</v>
      </c>
    </row>
    <row r="14" ht="18" customHeight="1" spans="1:5" x14ac:dyDescent="0.25">
      <c r="A14" s="18" t="s">
        <v>67</v>
      </c>
      <c r="B14" s="18"/>
      <c r="C14" s="18"/>
      <c r="D14" s="18"/>
      <c r="E14" s="18"/>
    </row>
    <row r="15" ht="13" customHeight="1" spans="1:2" x14ac:dyDescent="0.25">
      <c r="A15" t="s">
        <v>1</v>
      </c>
      <c r="B15" s="19" t="s">
        <v>68</v>
      </c>
    </row>
    <row r="16" ht="22" customHeight="1" spans="1:5" x14ac:dyDescent="0.25">
      <c r="A16" s="20" t="s">
        <v>48</v>
      </c>
      <c r="B16" s="20" t="s">
        <v>49</v>
      </c>
      <c r="C16" s="20" t="s">
        <v>50</v>
      </c>
      <c r="D16" s="20" t="s">
        <v>51</v>
      </c>
      <c r="E16" s="20" t="s">
        <v>52</v>
      </c>
    </row>
    <row r="17" ht="18" customHeight="1" spans="1:5" x14ac:dyDescent="0.25">
      <c r="A17" s="25" t="s">
        <v>57</v>
      </c>
      <c r="B17" s="26" t="s">
        <v>69</v>
      </c>
      <c r="C17" s="26" t="s">
        <v>70</v>
      </c>
      <c r="D17" s="27">
        <f>=100</f>
        <v>100</v>
      </c>
      <c r="E17" s="26" t="s">
        <v>71</v>
      </c>
    </row>
    <row r="18" ht="18" customHeight="1" spans="1:5" x14ac:dyDescent="0.25">
      <c r="A18" t="s">
        <v>1</v>
      </c>
      <c r="B18" s="8" t="s">
        <v>72</v>
      </c>
      <c r="C18" t="s">
        <v>1</v>
      </c>
      <c r="D18" s="24">
        <f>=SUM(D17:D17)</f>
        <v>100</v>
      </c>
      <c r="E18" t="s">
        <v>1</v>
      </c>
    </row>
    <row r="20" ht="18" customHeight="1" spans="1:5" x14ac:dyDescent="0.25">
      <c r="A20" s="18" t="s">
        <v>73</v>
      </c>
      <c r="B20" s="18"/>
      <c r="C20" s="18"/>
      <c r="D20" s="18"/>
      <c r="E20" s="18"/>
    </row>
    <row r="21" ht="13" customHeight="1" spans="1:2" x14ac:dyDescent="0.25">
      <c r="A21" t="s">
        <v>1</v>
      </c>
      <c r="B21" s="19" t="s">
        <v>68</v>
      </c>
    </row>
    <row r="22" ht="22" customHeight="1" spans="1:5" x14ac:dyDescent="0.25">
      <c r="A22" s="20" t="s">
        <v>48</v>
      </c>
      <c r="B22" s="20" t="s">
        <v>49</v>
      </c>
      <c r="C22" s="20" t="s">
        <v>50</v>
      </c>
      <c r="D22" s="20" t="s">
        <v>51</v>
      </c>
      <c r="E22" s="20" t="s">
        <v>52</v>
      </c>
    </row>
    <row r="23" ht="18" customHeight="1" spans="1:5" x14ac:dyDescent="0.25">
      <c r="A23" s="25" t="s">
        <v>74</v>
      </c>
      <c r="B23" s="26" t="s">
        <v>75</v>
      </c>
      <c r="C23" s="26" t="s">
        <v>70</v>
      </c>
      <c r="D23" s="27">
        <f>=100</f>
        <v>100</v>
      </c>
      <c r="E23" s="26" t="s">
        <v>76</v>
      </c>
    </row>
    <row r="24" ht="18" customHeight="1" spans="1:5" x14ac:dyDescent="0.25">
      <c r="A24" t="s">
        <v>1</v>
      </c>
      <c r="B24" s="8" t="s">
        <v>72</v>
      </c>
      <c r="C24" t="s">
        <v>1</v>
      </c>
      <c r="D24" s="24">
        <f>=SUM(D23:D23)</f>
        <v>100</v>
      </c>
      <c r="E24" t="s">
        <v>1</v>
      </c>
    </row>
    <row r="26" ht="18" customHeight="1" spans="1:5" x14ac:dyDescent="0.25">
      <c r="A26" s="18" t="s">
        <v>77</v>
      </c>
      <c r="B26" s="18"/>
      <c r="C26" s="18"/>
      <c r="D26" s="18"/>
      <c r="E26" s="18"/>
    </row>
    <row r="27" ht="13" customHeight="1" spans="1:2" x14ac:dyDescent="0.25">
      <c r="A27" t="s">
        <v>1</v>
      </c>
      <c r="B27" s="19" t="s">
        <v>68</v>
      </c>
    </row>
    <row r="28" ht="22" customHeight="1" spans="1:5" x14ac:dyDescent="0.25">
      <c r="A28" s="20" t="s">
        <v>48</v>
      </c>
      <c r="B28" s="20" t="s">
        <v>49</v>
      </c>
      <c r="C28" s="20" t="s">
        <v>50</v>
      </c>
      <c r="D28" s="20" t="s">
        <v>51</v>
      </c>
      <c r="E28" s="20" t="s">
        <v>52</v>
      </c>
    </row>
    <row r="29" spans="1:2" x14ac:dyDescent="0.25">
      <c r="A29" t="s">
        <v>1</v>
      </c>
      <c r="B29" s="28" t="s">
        <v>78</v>
      </c>
    </row>
    <row r="32" ht="22" customHeight="1" spans="1:5" x14ac:dyDescent="0.25">
      <c r="A32" t="s">
        <v>1</v>
      </c>
      <c r="B32" s="29" t="s">
        <v>79</v>
      </c>
      <c r="C32" t="s">
        <v>1</v>
      </c>
      <c r="D32" s="30">
        <v>680</v>
      </c>
      <c r="E32" t="s">
        <v>1</v>
      </c>
    </row>
  </sheetData>
  <mergeCells count="5">
    <mergeCell ref="A1:E1"/>
    <mergeCell ref="A5:E5"/>
    <mergeCell ref="A14:E14"/>
    <mergeCell ref="A20:E20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1" t="s">
        <v>80</v>
      </c>
      <c r="B1" s="31"/>
      <c r="C1" s="31"/>
      <c r="D1" s="31"/>
      <c r="E1" s="31"/>
      <c r="F1" s="31"/>
      <c r="G1" s="31"/>
    </row>
    <row r="3" ht="13" customHeight="1" spans="1:2" x14ac:dyDescent="0.25">
      <c r="A3" t="s">
        <v>1</v>
      </c>
      <c r="B3" s="32" t="s">
        <v>81</v>
      </c>
    </row>
    <row r="4" ht="22" customHeight="1" spans="1:7" x14ac:dyDescent="0.25">
      <c r="A4" s="3" t="s">
        <v>82</v>
      </c>
      <c r="B4" s="3" t="s">
        <v>49</v>
      </c>
      <c r="C4" s="3" t="s">
        <v>83</v>
      </c>
      <c r="D4" s="3" t="s">
        <v>84</v>
      </c>
      <c r="E4" s="3" t="s">
        <v>85</v>
      </c>
      <c r="F4" s="3" t="s">
        <v>51</v>
      </c>
      <c r="G4" s="3" t="s">
        <v>52</v>
      </c>
    </row>
    <row r="5" ht="13" customHeight="1" spans="1:2" x14ac:dyDescent="0.25">
      <c r="A5" t="s">
        <v>1</v>
      </c>
      <c r="B5" s="19" t="s">
        <v>86</v>
      </c>
    </row>
    <row r="6" ht="18" customHeight="1" spans="1:7" x14ac:dyDescent="0.25">
      <c r="A6" s="26" t="s">
        <v>87</v>
      </c>
      <c r="B6" s="26" t="s">
        <v>88</v>
      </c>
      <c r="C6" s="26" t="s">
        <v>1</v>
      </c>
      <c r="D6" s="25" t="s">
        <v>89</v>
      </c>
      <c r="E6" s="25" t="s">
        <v>90</v>
      </c>
      <c r="F6" s="27">
        <f>=IF(AND(D6="NOVA",E6="PRESENCIAL"),25,IF(AND(D6="FUP",E6="PRESENCIAL"),10,IF(D6="NOVA",10,IF(D6="FUP",5,0))))</f>
        <v>10</v>
      </c>
      <c r="G6" s="26" t="s">
        <v>91</v>
      </c>
    </row>
    <row r="7" ht="18" customHeight="1" spans="1:7" x14ac:dyDescent="0.25">
      <c r="A7" s="26" t="s">
        <v>74</v>
      </c>
      <c r="B7" s="26" t="s">
        <v>92</v>
      </c>
      <c r="C7" s="26" t="s">
        <v>1</v>
      </c>
      <c r="D7" s="25" t="s">
        <v>89</v>
      </c>
      <c r="E7" s="25" t="s">
        <v>90</v>
      </c>
      <c r="F7" s="27">
        <f>=IF(AND(D7="NOVA",E7="PRESENCIAL"),25,IF(AND(D7="FUP",E7="PRESENCIAL"),10,IF(D7="NOVA",10,IF(D7="FUP",5,0))))</f>
        <v>10</v>
      </c>
      <c r="G7" s="26" t="s">
        <v>93</v>
      </c>
    </row>
    <row r="8" ht="18" customHeight="1" spans="1:7" x14ac:dyDescent="0.25">
      <c r="A8" s="26" t="s">
        <v>94</v>
      </c>
      <c r="B8" s="26" t="s">
        <v>95</v>
      </c>
      <c r="C8" s="26" t="s">
        <v>1</v>
      </c>
      <c r="D8" s="25" t="s">
        <v>89</v>
      </c>
      <c r="E8" s="25" t="s">
        <v>90</v>
      </c>
      <c r="F8" s="27">
        <f>=IF(AND(D8="NOVA",E8="PRESENCIAL"),25,IF(AND(D8="FUP",E8="PRESENCIAL"),10,IF(D8="NOVA",10,IF(D8="FUP",5,0))))</f>
        <v>10</v>
      </c>
      <c r="G8" s="26" t="s">
        <v>96</v>
      </c>
    </row>
    <row r="9" ht="18" customHeight="1" spans="1:7" x14ac:dyDescent="0.25">
      <c r="A9" s="26" t="s">
        <v>97</v>
      </c>
      <c r="B9" s="26" t="s">
        <v>98</v>
      </c>
      <c r="C9" s="26" t="s">
        <v>1</v>
      </c>
      <c r="D9" s="25" t="s">
        <v>89</v>
      </c>
      <c r="E9" s="25" t="s">
        <v>90</v>
      </c>
      <c r="F9" s="27">
        <f>=IF(AND(D9="NOVA",E9="PRESENCIAL"),25,IF(AND(D9="FUP",E9="PRESENCIAL"),10,IF(D9="NOVA",10,IF(D9="FUP",5,0))))</f>
        <v>10</v>
      </c>
      <c r="G9" s="26" t="s">
        <v>99</v>
      </c>
    </row>
    <row r="10" ht="18" customHeight="1" spans="1:7" x14ac:dyDescent="0.25">
      <c r="A10" s="26" t="s">
        <v>100</v>
      </c>
      <c r="B10" s="26" t="s">
        <v>101</v>
      </c>
      <c r="C10" s="26" t="s">
        <v>1</v>
      </c>
      <c r="D10" s="25" t="s">
        <v>89</v>
      </c>
      <c r="E10" s="25" t="s">
        <v>90</v>
      </c>
      <c r="F10" s="27">
        <f>=IF(AND(D10="NOVA",E10="PRESENCIAL"),25,IF(AND(D10="FUP",E10="PRESENCIAL"),10,IF(D10="NOVA",10,IF(D10="FUP",5,0))))</f>
        <v>10</v>
      </c>
      <c r="G10" s="26" t="s">
        <v>102</v>
      </c>
    </row>
    <row r="11" ht="18" customHeight="1" spans="1:7" x14ac:dyDescent="0.25">
      <c r="A11" s="26" t="s">
        <v>100</v>
      </c>
      <c r="B11" s="26" t="s">
        <v>103</v>
      </c>
      <c r="C11" s="26" t="s">
        <v>1</v>
      </c>
      <c r="D11" s="25" t="s">
        <v>89</v>
      </c>
      <c r="E11" s="25" t="s">
        <v>90</v>
      </c>
      <c r="F11" s="27">
        <f>=IF(AND(D11="NOVA",E11="PRESENCIAL"),25,IF(AND(D11="FUP",E11="PRESENCIAL"),10,IF(D11="NOVA",10,IF(D11="FUP",5,0))))</f>
        <v>10</v>
      </c>
      <c r="G11" s="26" t="s">
        <v>104</v>
      </c>
    </row>
    <row r="12" ht="18" customHeight="1" spans="1:7" x14ac:dyDescent="0.25">
      <c r="A12" s="33" t="s">
        <v>57</v>
      </c>
      <c r="B12" s="33" t="s">
        <v>101</v>
      </c>
      <c r="C12" s="33" t="s">
        <v>1</v>
      </c>
      <c r="D12" s="34" t="s">
        <v>105</v>
      </c>
      <c r="E12" s="34" t="s">
        <v>90</v>
      </c>
      <c r="F12" s="35">
        <f>=IF(AND(D12="NOVA",E12="PRESENCIAL"),25,IF(AND(D12="FUP",E12="PRESENCIAL"),10,IF(D12="NOVA",10,IF(D12="FUP",5,0))))</f>
        <v>5</v>
      </c>
      <c r="G12" s="33" t="s">
        <v>102</v>
      </c>
    </row>
    <row r="13" ht="18" customHeight="1" spans="1:7" x14ac:dyDescent="0.25">
      <c r="A13" s="26" t="s">
        <v>57</v>
      </c>
      <c r="B13" s="26" t="s">
        <v>106</v>
      </c>
      <c r="C13" s="26" t="s">
        <v>1</v>
      </c>
      <c r="D13" s="25" t="s">
        <v>89</v>
      </c>
      <c r="E13" s="25" t="s">
        <v>90</v>
      </c>
      <c r="F13" s="27">
        <f>=IF(AND(D13="NOVA",E13="PRESENCIAL"),25,IF(AND(D13="FUP",E13="PRESENCIAL"),10,IF(D13="NOVA",10,IF(D13="FUP",5,0))))</f>
        <v>10</v>
      </c>
      <c r="G13" s="26" t="s">
        <v>107</v>
      </c>
    </row>
    <row r="14" ht="18" customHeight="1" spans="1:7" x14ac:dyDescent="0.25">
      <c r="A14" s="26" t="s">
        <v>108</v>
      </c>
      <c r="B14" s="26" t="s">
        <v>109</v>
      </c>
      <c r="C14" s="26" t="s">
        <v>1</v>
      </c>
      <c r="D14" s="25" t="s">
        <v>89</v>
      </c>
      <c r="E14" s="25" t="s">
        <v>90</v>
      </c>
      <c r="F14" s="27">
        <f>=IF(AND(D14="NOVA",E14="PRESENCIAL"),25,IF(AND(D14="FUP",E14="PRESENCIAL"),10,IF(D14="NOVA",10,IF(D14="FUP",5,0))))</f>
        <v>10</v>
      </c>
      <c r="G14" s="26" t="s">
        <v>110</v>
      </c>
    </row>
    <row r="15" ht="18" customHeight="1" spans="1:7" x14ac:dyDescent="0.25">
      <c r="A15" s="26" t="s">
        <v>111</v>
      </c>
      <c r="B15" s="26" t="s">
        <v>112</v>
      </c>
      <c r="C15" s="26" t="s">
        <v>1</v>
      </c>
      <c r="D15" s="25" t="s">
        <v>89</v>
      </c>
      <c r="E15" s="25" t="s">
        <v>90</v>
      </c>
      <c r="F15" s="27">
        <f>=IF(AND(D15="NOVA",E15="PRESENCIAL"),25,IF(AND(D15="FUP",E15="PRESENCIAL"),10,IF(D15="NOVA",10,IF(D15="FUP",5,0))))</f>
        <v>10</v>
      </c>
      <c r="G15" s="26" t="s">
        <v>113</v>
      </c>
    </row>
    <row r="16" ht="18" customHeight="1" spans="1:7" x14ac:dyDescent="0.25">
      <c r="A16" s="26" t="s">
        <v>111</v>
      </c>
      <c r="B16" s="26" t="s">
        <v>114</v>
      </c>
      <c r="C16" s="26" t="s">
        <v>1</v>
      </c>
      <c r="D16" s="25" t="s">
        <v>89</v>
      </c>
      <c r="E16" s="25" t="s">
        <v>90</v>
      </c>
      <c r="F16" s="27">
        <f>=IF(AND(D16="NOVA",E16="PRESENCIAL"),25,IF(AND(D16="FUP",E16="PRESENCIAL"),10,IF(D16="NOVA",10,IF(D16="FUP",5,0))))</f>
        <v>10</v>
      </c>
      <c r="G16" s="26" t="s">
        <v>115</v>
      </c>
    </row>
    <row r="17" ht="18" customHeight="1" spans="1:7" x14ac:dyDescent="0.25">
      <c r="A17" s="26" t="s">
        <v>111</v>
      </c>
      <c r="B17" s="26" t="s">
        <v>116</v>
      </c>
      <c r="C17" s="26" t="s">
        <v>1</v>
      </c>
      <c r="D17" s="25" t="s">
        <v>89</v>
      </c>
      <c r="E17" s="25" t="s">
        <v>117</v>
      </c>
      <c r="F17" s="27">
        <f>=IF(AND(D17="NOVA",E17="PRESENCIAL"),25,IF(AND(D17="FUP",E17="PRESENCIAL"),10,IF(D17="NOVA",10,IF(D17="FUP",5,0))))</f>
        <v>25</v>
      </c>
      <c r="G17" s="26" t="s">
        <v>118</v>
      </c>
    </row>
    <row r="18" ht="18" customHeight="1" spans="1:7" x14ac:dyDescent="0.25">
      <c r="A18" s="26" t="s">
        <v>111</v>
      </c>
      <c r="B18" s="26" t="s">
        <v>119</v>
      </c>
      <c r="C18" s="26" t="s">
        <v>1</v>
      </c>
      <c r="D18" s="25" t="s">
        <v>89</v>
      </c>
      <c r="E18" s="25" t="s">
        <v>90</v>
      </c>
      <c r="F18" s="27">
        <f>=IF(AND(D18="NOVA",E18="PRESENCIAL"),25,IF(AND(D18="FUP",E18="PRESENCIAL"),10,IF(D18="NOVA",10,IF(D18="FUP",5,0))))</f>
        <v>10</v>
      </c>
      <c r="G18" s="26" t="s">
        <v>120</v>
      </c>
    </row>
    <row r="19" ht="18" customHeight="1" spans="1:7" x14ac:dyDescent="0.25">
      <c r="A19" s="26" t="s">
        <v>53</v>
      </c>
      <c r="B19" s="26" t="s">
        <v>121</v>
      </c>
      <c r="C19" s="26" t="s">
        <v>1</v>
      </c>
      <c r="D19" s="25" t="s">
        <v>89</v>
      </c>
      <c r="E19" s="25" t="s">
        <v>90</v>
      </c>
      <c r="F19" s="27">
        <f>=IF(AND(D19="NOVA",E19="PRESENCIAL"),25,IF(AND(D19="FUP",E19="PRESENCIAL"),10,IF(D19="NOVA",10,IF(D19="FUP",5,0))))</f>
        <v>10</v>
      </c>
      <c r="G19" s="26" t="s">
        <v>122</v>
      </c>
    </row>
    <row r="20" ht="18" customHeight="1" spans="1:7" x14ac:dyDescent="0.25">
      <c r="A20" s="26" t="s">
        <v>53</v>
      </c>
      <c r="B20" s="26" t="s">
        <v>123</v>
      </c>
      <c r="C20" s="26" t="s">
        <v>1</v>
      </c>
      <c r="D20" s="25" t="s">
        <v>89</v>
      </c>
      <c r="E20" s="25" t="s">
        <v>90</v>
      </c>
      <c r="F20" s="27">
        <f>=IF(AND(D20="NOVA",E20="PRESENCIAL"),25,IF(AND(D20="FUP",E20="PRESENCIAL"),10,IF(D20="NOVA",10,IF(D20="FUP",5,0))))</f>
        <v>10</v>
      </c>
      <c r="G20" s="26" t="s">
        <v>124</v>
      </c>
    </row>
    <row r="21" ht="18" customHeight="1" spans="1:7" x14ac:dyDescent="0.25">
      <c r="A21" s="33" t="s">
        <v>125</v>
      </c>
      <c r="B21" s="33" t="s">
        <v>98</v>
      </c>
      <c r="C21" s="33" t="s">
        <v>126</v>
      </c>
      <c r="D21" s="34" t="s">
        <v>105</v>
      </c>
      <c r="E21" s="34" t="s">
        <v>90</v>
      </c>
      <c r="F21" s="35">
        <f>=IF(AND(D21="NOVA",E21="PRESENCIAL"),25,IF(AND(D21="FUP",E21="PRESENCIAL"),10,IF(D21="NOVA",10,IF(D21="FUP",5,0))))</f>
        <v>5</v>
      </c>
      <c r="G21" s="33" t="s">
        <v>99</v>
      </c>
    </row>
    <row r="22" ht="18" customHeight="1" spans="1:7" x14ac:dyDescent="0.25">
      <c r="A22" s="26" t="s">
        <v>125</v>
      </c>
      <c r="B22" s="26" t="s">
        <v>127</v>
      </c>
      <c r="C22" s="26" t="s">
        <v>1</v>
      </c>
      <c r="D22" s="25" t="s">
        <v>89</v>
      </c>
      <c r="E22" s="25" t="s">
        <v>90</v>
      </c>
      <c r="F22" s="27">
        <f>=IF(AND(D22="NOVA",E22="PRESENCIAL"),25,IF(AND(D22="FUP",E22="PRESENCIAL"),10,IF(D22="NOVA",10,IF(D22="FUP",5,0))))</f>
        <v>10</v>
      </c>
      <c r="G22" s="26" t="s">
        <v>128</v>
      </c>
    </row>
    <row r="23" ht="18" customHeight="1" spans="1:7" x14ac:dyDescent="0.25">
      <c r="A23" s="26" t="s">
        <v>129</v>
      </c>
      <c r="B23" s="26" t="s">
        <v>130</v>
      </c>
      <c r="C23" s="26" t="s">
        <v>1</v>
      </c>
      <c r="D23" s="25" t="s">
        <v>89</v>
      </c>
      <c r="E23" s="25" t="s">
        <v>117</v>
      </c>
      <c r="F23" s="27">
        <f>=IF(AND(D23="NOVA",E23="PRESENCIAL"),25,IF(AND(D23="FUP",E23="PRESENCIAL"),10,IF(D23="NOVA",10,IF(D23="FUP",5,0))))</f>
        <v>25</v>
      </c>
      <c r="G23" s="26" t="s">
        <v>131</v>
      </c>
    </row>
    <row r="24" ht="18" customHeight="1" spans="1:7" x14ac:dyDescent="0.25">
      <c r="A24" s="26" t="s">
        <v>132</v>
      </c>
      <c r="B24" s="26" t="s">
        <v>133</v>
      </c>
      <c r="C24" s="26" t="s">
        <v>1</v>
      </c>
      <c r="D24" s="25" t="s">
        <v>89</v>
      </c>
      <c r="E24" s="25" t="s">
        <v>90</v>
      </c>
      <c r="F24" s="27">
        <f>=IF(AND(D24="NOVA",E24="PRESENCIAL"),25,IF(AND(D24="FUP",E24="PRESENCIAL"),10,IF(D24="NOVA",10,IF(D24="FUP",5,0))))</f>
        <v>10</v>
      </c>
      <c r="G24" s="26" t="s">
        <v>134</v>
      </c>
    </row>
    <row r="25" ht="18" customHeight="1" spans="1:7" x14ac:dyDescent="0.25">
      <c r="A25" s="26" t="s">
        <v>135</v>
      </c>
      <c r="B25" s="26" t="s">
        <v>136</v>
      </c>
      <c r="C25" s="26" t="s">
        <v>1</v>
      </c>
      <c r="D25" s="25" t="s">
        <v>89</v>
      </c>
      <c r="E25" s="25" t="s">
        <v>90</v>
      </c>
      <c r="F25" s="27">
        <f>=IF(AND(D25="NOVA",E25="PRESENCIAL"),25,IF(AND(D25="FUP",E25="PRESENCIAL"),10,IF(D25="NOVA",10,IF(D25="FUP",5,0))))</f>
        <v>10</v>
      </c>
      <c r="G25" s="26" t="s">
        <v>137</v>
      </c>
    </row>
    <row r="26" ht="18" customHeight="1" spans="1:7" x14ac:dyDescent="0.25">
      <c r="A26" s="33" t="s">
        <v>135</v>
      </c>
      <c r="B26" s="33" t="s">
        <v>138</v>
      </c>
      <c r="C26" s="33" t="s">
        <v>1</v>
      </c>
      <c r="D26" s="34" t="s">
        <v>105</v>
      </c>
      <c r="E26" s="34" t="s">
        <v>90</v>
      </c>
      <c r="F26" s="35">
        <f>=IF(AND(D26="NOVA",E26="PRESENCIAL"),25,IF(AND(D26="FUP",E26="PRESENCIAL"),10,IF(D26="NOVA",10,IF(D26="FUP",5,0))))</f>
        <v>5</v>
      </c>
      <c r="G26" s="33" t="s">
        <v>139</v>
      </c>
    </row>
    <row r="27" ht="18" customHeight="1" spans="1:7" x14ac:dyDescent="0.25">
      <c r="A27" s="33" t="s">
        <v>140</v>
      </c>
      <c r="B27" s="33" t="s">
        <v>123</v>
      </c>
      <c r="C27" s="33" t="s">
        <v>1</v>
      </c>
      <c r="D27" s="34" t="s">
        <v>105</v>
      </c>
      <c r="E27" s="34" t="s">
        <v>90</v>
      </c>
      <c r="F27" s="35">
        <f>=IF(AND(D27="NOVA",E27="PRESENCIAL"),25,IF(AND(D27="FUP",E27="PRESENCIAL"),10,IF(D27="NOVA",10,IF(D27="FUP",5,0))))</f>
        <v>5</v>
      </c>
      <c r="G27" s="33" t="s">
        <v>124</v>
      </c>
    </row>
    <row r="29" spans="1:6" x14ac:dyDescent="0.25">
      <c r="A29" t="s">
        <v>1</v>
      </c>
      <c r="B29" s="8" t="s">
        <v>141</v>
      </c>
      <c r="C29" t="s">
        <v>1</v>
      </c>
      <c r="D29" s="36" t="s">
        <v>142</v>
      </c>
      <c r="E29" t="s">
        <v>1</v>
      </c>
      <c r="F29" s="7">
        <f>=SUM(F6:F28)</f>
        <v>230</v>
      </c>
    </row>
  </sheetData>
  <mergeCells count="1">
    <mergeCell ref="A1:G1"/>
  </mergeCells>
  <dataValidations count="4">
    <dataValidation type="list" sqref="D10:D27">
      <formula1>"NOVA,FUP"</formula1>
    </dataValidation>
    <dataValidation type="list" sqref="D6:D27">
      <formula1>"NOVA,FUP"</formula1>
    </dataValidation>
    <dataValidation type="list" sqref="E10:E27">
      <formula1>"VIDEO CONFERÊNCIA,PRESENCIAL"</formula1>
    </dataValidation>
    <dataValidation type="list" sqref="E6:E2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1" t="s">
        <v>143</v>
      </c>
      <c r="B1" s="31"/>
      <c r="C1" s="31"/>
      <c r="D1" s="31"/>
      <c r="E1" s="31"/>
      <c r="F1" s="31"/>
      <c r="G1" s="31"/>
    </row>
    <row r="3" ht="13" customHeight="1" spans="1:2" x14ac:dyDescent="0.25">
      <c r="A3" t="s">
        <v>1</v>
      </c>
      <c r="B3" s="32" t="s">
        <v>144</v>
      </c>
    </row>
    <row r="4" ht="22" customHeight="1" spans="1:7" x14ac:dyDescent="0.25">
      <c r="A4" s="3" t="s">
        <v>82</v>
      </c>
      <c r="B4" s="3" t="s">
        <v>49</v>
      </c>
      <c r="C4" s="3" t="s">
        <v>83</v>
      </c>
      <c r="D4" s="3" t="s">
        <v>84</v>
      </c>
      <c r="E4" s="3" t="s">
        <v>85</v>
      </c>
      <c r="F4" s="3" t="s">
        <v>51</v>
      </c>
      <c r="G4" s="3" t="s">
        <v>52</v>
      </c>
    </row>
    <row r="5" ht="13" customHeight="1" spans="1:2" x14ac:dyDescent="0.25">
      <c r="A5" t="s">
        <v>1</v>
      </c>
      <c r="B5" s="19" t="s">
        <v>86</v>
      </c>
    </row>
    <row r="6" ht="18" customHeight="1" spans="1:7" x14ac:dyDescent="0.25">
      <c r="A6" s="26" t="s">
        <v>87</v>
      </c>
      <c r="B6" s="26" t="s">
        <v>145</v>
      </c>
      <c r="C6" s="26" t="s">
        <v>1</v>
      </c>
      <c r="D6" s="25" t="s">
        <v>89</v>
      </c>
      <c r="E6" s="25" t="s">
        <v>90</v>
      </c>
      <c r="F6" s="27">
        <f>=IF(AND(D6="NOVA",E6="PRESENCIAL"),15,IF(AND(D6="FUP",E6="PRESENCIAL"),7.5,IF(D6="NOVA",7.5,IF(D6="FUP",5,0))))</f>
        <v>7.5</v>
      </c>
      <c r="G6" s="26" t="s">
        <v>146</v>
      </c>
    </row>
    <row r="7" ht="18" customHeight="1" spans="1:7" x14ac:dyDescent="0.25">
      <c r="A7" s="26" t="s">
        <v>74</v>
      </c>
      <c r="B7" s="26" t="s">
        <v>147</v>
      </c>
      <c r="C7" s="26" t="s">
        <v>1</v>
      </c>
      <c r="D7" s="25" t="s">
        <v>89</v>
      </c>
      <c r="E7" s="25" t="s">
        <v>90</v>
      </c>
      <c r="F7" s="27">
        <f>=IF(AND(D7="NOVA",E7="PRESENCIAL"),15,IF(AND(D7="FUP",E7="PRESENCIAL"),7.5,IF(D7="NOVA",7.5,IF(D7="FUP",5,0))))</f>
        <v>7.5</v>
      </c>
      <c r="G7" s="26" t="s">
        <v>148</v>
      </c>
    </row>
    <row r="8" ht="18" customHeight="1" spans="1:7" x14ac:dyDescent="0.25">
      <c r="A8" s="26" t="s">
        <v>61</v>
      </c>
      <c r="B8" s="26" t="s">
        <v>149</v>
      </c>
      <c r="C8" s="26" t="s">
        <v>1</v>
      </c>
      <c r="D8" s="25" t="s">
        <v>89</v>
      </c>
      <c r="E8" s="25" t="s">
        <v>90</v>
      </c>
      <c r="F8" s="27">
        <f>=IF(AND(D8="NOVA",E8="PRESENCIAL"),15,IF(AND(D8="FUP",E8="PRESENCIAL"),7.5,IF(D8="NOVA",7.5,IF(D8="FUP",5,0))))</f>
        <v>7.5</v>
      </c>
      <c r="G8" s="26" t="s">
        <v>150</v>
      </c>
    </row>
    <row r="9" ht="18" customHeight="1" spans="1:7" x14ac:dyDescent="0.25">
      <c r="A9" s="33" t="s">
        <v>61</v>
      </c>
      <c r="B9" s="33" t="s">
        <v>151</v>
      </c>
      <c r="C9" s="33" t="s">
        <v>1</v>
      </c>
      <c r="D9" s="34" t="s">
        <v>105</v>
      </c>
      <c r="E9" s="34" t="s">
        <v>90</v>
      </c>
      <c r="F9" s="35">
        <f>=IF(AND(D9="NOVA",E9="PRESENCIAL"),15,IF(AND(D9="FUP",E9="PRESENCIAL"),7.5,IF(D9="NOVA",7.5,IF(D9="FUP",5,0))))</f>
        <v>5</v>
      </c>
      <c r="G9" s="33" t="s">
        <v>152</v>
      </c>
    </row>
    <row r="10" ht="18" customHeight="1" spans="1:7" x14ac:dyDescent="0.25">
      <c r="A10" s="26" t="s">
        <v>61</v>
      </c>
      <c r="B10" s="26" t="s">
        <v>153</v>
      </c>
      <c r="C10" s="26" t="s">
        <v>1</v>
      </c>
      <c r="D10" s="25" t="s">
        <v>89</v>
      </c>
      <c r="E10" s="25" t="s">
        <v>90</v>
      </c>
      <c r="F10" s="27">
        <f>=IF(AND(D10="NOVA",E10="PRESENCIAL"),15,IF(AND(D10="FUP",E10="PRESENCIAL"),7.5,IF(D10="NOVA",7.5,IF(D10="FUP",5,0))))</f>
        <v>7.5</v>
      </c>
      <c r="G10" s="26" t="s">
        <v>154</v>
      </c>
    </row>
    <row r="11" ht="18" customHeight="1" spans="1:7" x14ac:dyDescent="0.25">
      <c r="A11" s="26" t="s">
        <v>100</v>
      </c>
      <c r="B11" s="26" t="s">
        <v>155</v>
      </c>
      <c r="C11" s="26" t="s">
        <v>1</v>
      </c>
      <c r="D11" s="25" t="s">
        <v>89</v>
      </c>
      <c r="E11" s="25" t="s">
        <v>90</v>
      </c>
      <c r="F11" s="27">
        <f>=IF(AND(D11="NOVA",E11="PRESENCIAL"),15,IF(AND(D11="FUP",E11="PRESENCIAL"),7.5,IF(D11="NOVA",7.5,IF(D11="FUP",5,0))))</f>
        <v>7.5</v>
      </c>
      <c r="G11" s="26" t="s">
        <v>156</v>
      </c>
    </row>
    <row r="12" ht="18" customHeight="1" spans="1:7" x14ac:dyDescent="0.25">
      <c r="A12" s="26" t="s">
        <v>125</v>
      </c>
      <c r="B12" s="26" t="s">
        <v>157</v>
      </c>
      <c r="C12" s="26" t="s">
        <v>1</v>
      </c>
      <c r="D12" s="25" t="s">
        <v>89</v>
      </c>
      <c r="E12" s="25" t="s">
        <v>90</v>
      </c>
      <c r="F12" s="27">
        <f>=IF(AND(D12="NOVA",E12="PRESENCIAL"),15,IF(AND(D12="FUP",E12="PRESENCIAL"),7.5,IF(D12="NOVA",7.5,IF(D12="FUP",5,0))))</f>
        <v>7.5</v>
      </c>
      <c r="G12" s="26" t="s">
        <v>158</v>
      </c>
    </row>
    <row r="13" ht="18" customHeight="1" spans="1:7" x14ac:dyDescent="0.25">
      <c r="A13" s="26" t="s">
        <v>135</v>
      </c>
      <c r="B13" s="26" t="s">
        <v>159</v>
      </c>
      <c r="C13" s="26" t="s">
        <v>1</v>
      </c>
      <c r="D13" s="25" t="s">
        <v>89</v>
      </c>
      <c r="E13" s="25" t="s">
        <v>90</v>
      </c>
      <c r="F13" s="27">
        <f>=IF(AND(D13="NOVA",E13="PRESENCIAL"),15,IF(AND(D13="FUP",E13="PRESENCIAL"),7.5,IF(D13="NOVA",7.5,IF(D13="FUP",5,0))))</f>
        <v>7.5</v>
      </c>
      <c r="G13" s="26" t="s">
        <v>160</v>
      </c>
    </row>
    <row r="14" ht="18" customHeight="1" spans="1:7" x14ac:dyDescent="0.25">
      <c r="A14" s="26" t="s">
        <v>135</v>
      </c>
      <c r="B14" s="26" t="s">
        <v>161</v>
      </c>
      <c r="C14" s="26" t="s">
        <v>1</v>
      </c>
      <c r="D14" s="25" t="s">
        <v>89</v>
      </c>
      <c r="E14" s="25" t="s">
        <v>90</v>
      </c>
      <c r="F14" s="27">
        <f>=IF(AND(D14="NOVA",E14="PRESENCIAL"),15,IF(AND(D14="FUP",E14="PRESENCIAL"),7.5,IF(D14="NOVA",7.5,IF(D14="FUP",5,0))))</f>
        <v>7.5</v>
      </c>
      <c r="G14" s="26" t="s">
        <v>162</v>
      </c>
    </row>
    <row r="15" ht="18" customHeight="1" spans="1:7" x14ac:dyDescent="0.25">
      <c r="A15" s="33" t="s">
        <v>135</v>
      </c>
      <c r="B15" s="33" t="s">
        <v>163</v>
      </c>
      <c r="C15" s="33" t="s">
        <v>1</v>
      </c>
      <c r="D15" s="34" t="s">
        <v>105</v>
      </c>
      <c r="E15" s="34" t="s">
        <v>90</v>
      </c>
      <c r="F15" s="35">
        <f>=IF(AND(D15="NOVA",E15="PRESENCIAL"),15,IF(AND(D15="FUP",E15="PRESENCIAL"),7.5,IF(D15="NOVA",7.5,IF(D15="FUP",5,0))))</f>
        <v>5</v>
      </c>
      <c r="G15" s="33" t="s">
        <v>164</v>
      </c>
    </row>
    <row r="16" ht="18" customHeight="1" spans="1:7" x14ac:dyDescent="0.25">
      <c r="A16" s="26" t="s">
        <v>135</v>
      </c>
      <c r="B16" s="26" t="s">
        <v>165</v>
      </c>
      <c r="C16" s="26" t="s">
        <v>1</v>
      </c>
      <c r="D16" s="25" t="s">
        <v>89</v>
      </c>
      <c r="E16" s="25" t="s">
        <v>90</v>
      </c>
      <c r="F16" s="27">
        <f>=IF(AND(D16="NOVA",E16="PRESENCIAL"),15,IF(AND(D16="FUP",E16="PRESENCIAL"),7.5,IF(D16="NOVA",7.5,IF(D16="FUP",5,0))))</f>
        <v>7.5</v>
      </c>
      <c r="G16" s="26" t="s">
        <v>166</v>
      </c>
    </row>
    <row r="17" ht="18" customHeight="1" spans="1:7" x14ac:dyDescent="0.25">
      <c r="A17" s="26" t="s">
        <v>135</v>
      </c>
      <c r="B17" s="26" t="s">
        <v>167</v>
      </c>
      <c r="C17" s="26" t="s">
        <v>1</v>
      </c>
      <c r="D17" s="25" t="s">
        <v>89</v>
      </c>
      <c r="E17" s="25" t="s">
        <v>90</v>
      </c>
      <c r="F17" s="27">
        <f>=IF(AND(D17="NOVA",E17="PRESENCIAL"),15,IF(AND(D17="FUP",E17="PRESENCIAL"),7.5,IF(D17="NOVA",7.5,IF(D17="FUP",5,0))))</f>
        <v>7.5</v>
      </c>
      <c r="G17" s="26" t="s">
        <v>168</v>
      </c>
    </row>
    <row r="18" ht="18" customHeight="1" spans="1:7" x14ac:dyDescent="0.25">
      <c r="A18" s="26" t="s">
        <v>169</v>
      </c>
      <c r="B18" s="26" t="s">
        <v>170</v>
      </c>
      <c r="C18" s="26" t="s">
        <v>1</v>
      </c>
      <c r="D18" s="25" t="s">
        <v>89</v>
      </c>
      <c r="E18" s="25" t="s">
        <v>90</v>
      </c>
      <c r="F18" s="27">
        <f>=IF(AND(D18="NOVA",E18="PRESENCIAL"),15,IF(AND(D18="FUP",E18="PRESENCIAL"),7.5,IF(D18="NOVA",7.5,IF(D18="FUP",5,0))))</f>
        <v>7.5</v>
      </c>
      <c r="G18" s="26" t="s">
        <v>171</v>
      </c>
    </row>
    <row r="19" ht="18" customHeight="1" spans="1:7" x14ac:dyDescent="0.25">
      <c r="A19" s="26" t="s">
        <v>169</v>
      </c>
      <c r="B19" s="26" t="s">
        <v>172</v>
      </c>
      <c r="C19" s="26" t="s">
        <v>1</v>
      </c>
      <c r="D19" s="25" t="s">
        <v>89</v>
      </c>
      <c r="E19" s="25" t="s">
        <v>90</v>
      </c>
      <c r="F19" s="27">
        <f>=IF(AND(D19="NOVA",E19="PRESENCIAL"),15,IF(AND(D19="FUP",E19="PRESENCIAL"),7.5,IF(D19="NOVA",7.5,IF(D19="FUP",5,0))))</f>
        <v>7.5</v>
      </c>
      <c r="G19" s="26" t="s">
        <v>173</v>
      </c>
    </row>
    <row r="20" ht="18" customHeight="1" spans="1:7" x14ac:dyDescent="0.25">
      <c r="A20" s="26" t="s">
        <v>174</v>
      </c>
      <c r="B20" s="26" t="s">
        <v>175</v>
      </c>
      <c r="C20" s="26" t="s">
        <v>1</v>
      </c>
      <c r="D20" s="25" t="s">
        <v>89</v>
      </c>
      <c r="E20" s="25" t="s">
        <v>90</v>
      </c>
      <c r="F20" s="27">
        <f>=IF(AND(D20="NOVA",E20="PRESENCIAL"),15,IF(AND(D20="FUP",E20="PRESENCIAL"),7.5,IF(D20="NOVA",7.5,IF(D20="FUP",5,0))))</f>
        <v>7.5</v>
      </c>
      <c r="G20" s="26" t="s">
        <v>176</v>
      </c>
    </row>
    <row r="21" ht="18" customHeight="1" spans="1:7" x14ac:dyDescent="0.25">
      <c r="A21" s="26" t="s">
        <v>174</v>
      </c>
      <c r="B21" s="26" t="s">
        <v>177</v>
      </c>
      <c r="C21" s="26" t="s">
        <v>1</v>
      </c>
      <c r="D21" s="25" t="s">
        <v>89</v>
      </c>
      <c r="E21" s="25" t="s">
        <v>90</v>
      </c>
      <c r="F21" s="27">
        <f>=IF(AND(D21="NOVA",E21="PRESENCIAL"),15,IF(AND(D21="FUP",E21="PRESENCIAL"),7.5,IF(D21="NOVA",7.5,IF(D21="FUP",5,0))))</f>
        <v>7.5</v>
      </c>
      <c r="G21" s="26" t="s">
        <v>178</v>
      </c>
    </row>
    <row r="22" ht="18" customHeight="1" spans="1:7" x14ac:dyDescent="0.25">
      <c r="A22" s="26" t="s">
        <v>179</v>
      </c>
      <c r="B22" s="26" t="s">
        <v>180</v>
      </c>
      <c r="C22" s="26" t="s">
        <v>1</v>
      </c>
      <c r="D22" s="25" t="s">
        <v>89</v>
      </c>
      <c r="E22" s="25" t="s">
        <v>90</v>
      </c>
      <c r="F22" s="27">
        <f>=IF(AND(D22="NOVA",E22="PRESENCIAL"),15,IF(AND(D22="FUP",E22="PRESENCIAL"),7.5,IF(D22="NOVA",7.5,IF(D22="FUP",5,0))))</f>
        <v>7.5</v>
      </c>
      <c r="G22" s="26" t="s">
        <v>181</v>
      </c>
    </row>
    <row r="23" ht="18" customHeight="1" spans="1:7" x14ac:dyDescent="0.25">
      <c r="A23" s="26" t="s">
        <v>179</v>
      </c>
      <c r="B23" s="26" t="s">
        <v>182</v>
      </c>
      <c r="C23" s="26" t="s">
        <v>1</v>
      </c>
      <c r="D23" s="25" t="s">
        <v>89</v>
      </c>
      <c r="E23" s="25" t="s">
        <v>90</v>
      </c>
      <c r="F23" s="27">
        <f>=IF(AND(D23="NOVA",E23="PRESENCIAL"),15,IF(AND(D23="FUP",E23="PRESENCIAL"),7.5,IF(D23="NOVA",7.5,IF(D23="FUP",5,0))))</f>
        <v>7.5</v>
      </c>
      <c r="G23" s="26" t="s">
        <v>183</v>
      </c>
    </row>
    <row r="24" ht="18" customHeight="1" spans="1:7" x14ac:dyDescent="0.25">
      <c r="A24" s="26" t="s">
        <v>179</v>
      </c>
      <c r="B24" s="26" t="s">
        <v>184</v>
      </c>
      <c r="C24" s="26" t="s">
        <v>1</v>
      </c>
      <c r="D24" s="25" t="s">
        <v>89</v>
      </c>
      <c r="E24" s="25" t="s">
        <v>90</v>
      </c>
      <c r="F24" s="27">
        <f>=IF(AND(D24="NOVA",E24="PRESENCIAL"),15,IF(AND(D24="FUP",E24="PRESENCIAL"),7.5,IF(D24="NOVA",7.5,IF(D24="FUP",5,0))))</f>
        <v>7.5</v>
      </c>
      <c r="G24" s="26" t="s">
        <v>185</v>
      </c>
    </row>
    <row r="25" ht="18" customHeight="1" spans="1:7" x14ac:dyDescent="0.25">
      <c r="A25" s="26" t="s">
        <v>179</v>
      </c>
      <c r="B25" s="26" t="s">
        <v>186</v>
      </c>
      <c r="C25" s="26" t="s">
        <v>1</v>
      </c>
      <c r="D25" s="25" t="s">
        <v>89</v>
      </c>
      <c r="E25" s="25" t="s">
        <v>90</v>
      </c>
      <c r="F25" s="27">
        <f>=IF(AND(D25="NOVA",E25="PRESENCIAL"),15,IF(AND(D25="FUP",E25="PRESENCIAL"),7.5,IF(D25="NOVA",7.5,IF(D25="FUP",5,0))))</f>
        <v>7.5</v>
      </c>
      <c r="G25" s="26" t="s">
        <v>187</v>
      </c>
    </row>
    <row r="27" spans="1:6" x14ac:dyDescent="0.25">
      <c r="A27" t="s">
        <v>1</v>
      </c>
      <c r="B27" s="8" t="s">
        <v>141</v>
      </c>
      <c r="C27" t="s">
        <v>1</v>
      </c>
      <c r="D27" s="36" t="s">
        <v>188</v>
      </c>
      <c r="E27" t="s">
        <v>1</v>
      </c>
      <c r="F27" s="7">
        <f>=SUM(F6:F26)</f>
        <v>145</v>
      </c>
    </row>
  </sheetData>
  <mergeCells count="1">
    <mergeCell ref="A1:G1"/>
  </mergeCells>
  <dataValidations count="4">
    <dataValidation type="list" sqref="D10:D25">
      <formula1>"NOVA,FUP"</formula1>
    </dataValidation>
    <dataValidation type="list" sqref="D6:D25">
      <formula1>"NOVA,FUP"</formula1>
    </dataValidation>
    <dataValidation type="list" sqref="E10:E25">
      <formula1>"VIDEO CONFERÊNCIA,PRESENCIAL"</formula1>
    </dataValidation>
    <dataValidation type="list" sqref="E6:E25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1" t="s">
        <v>189</v>
      </c>
      <c r="B1" s="31"/>
      <c r="C1" s="31"/>
      <c r="D1" s="31"/>
      <c r="E1" s="31"/>
      <c r="F1" s="31"/>
      <c r="G1" s="31"/>
    </row>
    <row r="3" ht="13" customHeight="1" spans="1:2" x14ac:dyDescent="0.25">
      <c r="A3" t="s">
        <v>1</v>
      </c>
      <c r="B3" s="32" t="s">
        <v>144</v>
      </c>
    </row>
    <row r="4" ht="22" customHeight="1" spans="1:7" x14ac:dyDescent="0.25">
      <c r="A4" s="3" t="s">
        <v>82</v>
      </c>
      <c r="B4" s="3" t="s">
        <v>49</v>
      </c>
      <c r="C4" s="3" t="s">
        <v>83</v>
      </c>
      <c r="D4" s="3" t="s">
        <v>84</v>
      </c>
      <c r="E4" s="3" t="s">
        <v>85</v>
      </c>
      <c r="F4" s="3" t="s">
        <v>51</v>
      </c>
      <c r="G4" s="3" t="s">
        <v>52</v>
      </c>
    </row>
    <row r="5" ht="13" customHeight="1" spans="1:2" x14ac:dyDescent="0.25">
      <c r="A5" t="s">
        <v>1</v>
      </c>
      <c r="B5" s="19" t="s">
        <v>86</v>
      </c>
    </row>
    <row r="6" ht="18" customHeight="1" spans="1:7" x14ac:dyDescent="0.25">
      <c r="A6" s="26" t="s">
        <v>74</v>
      </c>
      <c r="B6" s="26" t="s">
        <v>190</v>
      </c>
      <c r="C6" s="26" t="s">
        <v>1</v>
      </c>
      <c r="D6" s="25" t="s">
        <v>89</v>
      </c>
      <c r="E6" s="25" t="s">
        <v>90</v>
      </c>
      <c r="F6" s="27">
        <f>=IF(AND(D6="NOVA",E6="PRESENCIAL"),15,IF(AND(D6="FUP",E6="PRESENCIAL"),7.5,IF(D6="NOVA",7.5,IF(D6="FUP",5,0))))</f>
        <v>7.5</v>
      </c>
      <c r="G6" s="26" t="s">
        <v>191</v>
      </c>
    </row>
    <row r="7" ht="18" customHeight="1" spans="1:7" x14ac:dyDescent="0.25">
      <c r="A7" s="26" t="s">
        <v>74</v>
      </c>
      <c r="B7" s="26" t="s">
        <v>192</v>
      </c>
      <c r="C7" s="26" t="s">
        <v>1</v>
      </c>
      <c r="D7" s="25" t="s">
        <v>89</v>
      </c>
      <c r="E7" s="25" t="s">
        <v>90</v>
      </c>
      <c r="F7" s="27">
        <f>=IF(AND(D7="NOVA",E7="PRESENCIAL"),15,IF(AND(D7="FUP",E7="PRESENCIAL"),7.5,IF(D7="NOVA",7.5,IF(D7="FUP",5,0))))</f>
        <v>7.5</v>
      </c>
      <c r="G7" s="26" t="s">
        <v>193</v>
      </c>
    </row>
    <row r="8" ht="18" customHeight="1" spans="1:7" x14ac:dyDescent="0.25">
      <c r="A8" s="26" t="s">
        <v>94</v>
      </c>
      <c r="B8" s="26" t="s">
        <v>194</v>
      </c>
      <c r="C8" s="26" t="s">
        <v>1</v>
      </c>
      <c r="D8" s="25" t="s">
        <v>89</v>
      </c>
      <c r="E8" s="25" t="s">
        <v>90</v>
      </c>
      <c r="F8" s="27">
        <f>=IF(AND(D8="NOVA",E8="PRESENCIAL"),15,IF(AND(D8="FUP",E8="PRESENCIAL"),7.5,IF(D8="NOVA",7.5,IF(D8="FUP",5,0))))</f>
        <v>7.5</v>
      </c>
      <c r="G8" s="26" t="s">
        <v>195</v>
      </c>
    </row>
    <row r="9" ht="18" customHeight="1" spans="1:7" x14ac:dyDescent="0.25">
      <c r="A9" s="26" t="s">
        <v>94</v>
      </c>
      <c r="B9" s="26" t="s">
        <v>196</v>
      </c>
      <c r="C9" s="26" t="s">
        <v>1</v>
      </c>
      <c r="D9" s="25" t="s">
        <v>89</v>
      </c>
      <c r="E9" s="25" t="s">
        <v>90</v>
      </c>
      <c r="F9" s="27">
        <f>=IF(AND(D9="NOVA",E9="PRESENCIAL"),15,IF(AND(D9="FUP",E9="PRESENCIAL"),7.5,IF(D9="NOVA",7.5,IF(D9="FUP",5,0))))</f>
        <v>7.5</v>
      </c>
      <c r="G9" s="26" t="s">
        <v>197</v>
      </c>
    </row>
    <row r="10" ht="18" customHeight="1" spans="1:7" x14ac:dyDescent="0.25">
      <c r="A10" s="26" t="s">
        <v>94</v>
      </c>
      <c r="B10" s="26" t="s">
        <v>198</v>
      </c>
      <c r="C10" s="26" t="s">
        <v>1</v>
      </c>
      <c r="D10" s="25" t="s">
        <v>89</v>
      </c>
      <c r="E10" s="25" t="s">
        <v>90</v>
      </c>
      <c r="F10" s="27">
        <f>=IF(AND(D10="NOVA",E10="PRESENCIAL"),15,IF(AND(D10="FUP",E10="PRESENCIAL"),7.5,IF(D10="NOVA",7.5,IF(D10="FUP",5,0))))</f>
        <v>7.5</v>
      </c>
      <c r="G10" s="26" t="s">
        <v>199</v>
      </c>
    </row>
    <row r="11" ht="18" customHeight="1" spans="1:7" x14ac:dyDescent="0.25">
      <c r="A11" s="26" t="s">
        <v>100</v>
      </c>
      <c r="B11" s="26" t="s">
        <v>200</v>
      </c>
      <c r="C11" s="26" t="s">
        <v>1</v>
      </c>
      <c r="D11" s="25" t="s">
        <v>89</v>
      </c>
      <c r="E11" s="25" t="s">
        <v>90</v>
      </c>
      <c r="F11" s="27">
        <f>=IF(AND(D11="NOVA",E11="PRESENCIAL"),15,IF(AND(D11="FUP",E11="PRESENCIAL"),7.5,IF(D11="NOVA",7.5,IF(D11="FUP",5,0))))</f>
        <v>7.5</v>
      </c>
      <c r="G11" s="26" t="s">
        <v>201</v>
      </c>
    </row>
    <row r="12" ht="18" customHeight="1" spans="1:7" x14ac:dyDescent="0.25">
      <c r="A12" s="33" t="s">
        <v>100</v>
      </c>
      <c r="B12" s="33" t="s">
        <v>202</v>
      </c>
      <c r="C12" s="33" t="s">
        <v>1</v>
      </c>
      <c r="D12" s="34" t="s">
        <v>105</v>
      </c>
      <c r="E12" s="34" t="s">
        <v>90</v>
      </c>
      <c r="F12" s="35">
        <f>=IF(AND(D12="NOVA",E12="PRESENCIAL"),15,IF(AND(D12="FUP",E12="PRESENCIAL"),7.5,IF(D12="NOVA",7.5,IF(D12="FUP",5,0))))</f>
        <v>5</v>
      </c>
      <c r="G12" s="33" t="s">
        <v>203</v>
      </c>
    </row>
    <row r="13" ht="18" customHeight="1" spans="1:7" x14ac:dyDescent="0.25">
      <c r="A13" s="26" t="s">
        <v>57</v>
      </c>
      <c r="B13" s="26" t="s">
        <v>204</v>
      </c>
      <c r="C13" s="26" t="s">
        <v>1</v>
      </c>
      <c r="D13" s="25" t="s">
        <v>89</v>
      </c>
      <c r="E13" s="25" t="s">
        <v>90</v>
      </c>
      <c r="F13" s="27">
        <f>=IF(AND(D13="NOVA",E13="PRESENCIAL"),15,IF(AND(D13="FUP",E13="PRESENCIAL"),7.5,IF(D13="NOVA",7.5,IF(D13="FUP",5,0))))</f>
        <v>7.5</v>
      </c>
      <c r="G13" s="26" t="s">
        <v>205</v>
      </c>
    </row>
    <row r="14" ht="18" customHeight="1" spans="1:7" x14ac:dyDescent="0.25">
      <c r="A14" s="26" t="s">
        <v>111</v>
      </c>
      <c r="B14" s="26" t="s">
        <v>206</v>
      </c>
      <c r="C14" s="26" t="s">
        <v>1</v>
      </c>
      <c r="D14" s="25" t="s">
        <v>89</v>
      </c>
      <c r="E14" s="25" t="s">
        <v>90</v>
      </c>
      <c r="F14" s="27">
        <f>=IF(AND(D14="NOVA",E14="PRESENCIAL"),15,IF(AND(D14="FUP",E14="PRESENCIAL"),7.5,IF(D14="NOVA",7.5,IF(D14="FUP",5,0))))</f>
        <v>7.5</v>
      </c>
      <c r="G14" s="26" t="s">
        <v>207</v>
      </c>
    </row>
    <row r="15" ht="18" customHeight="1" spans="1:7" x14ac:dyDescent="0.25">
      <c r="A15" s="26" t="s">
        <v>53</v>
      </c>
      <c r="B15" s="26" t="s">
        <v>208</v>
      </c>
      <c r="C15" s="26" t="s">
        <v>1</v>
      </c>
      <c r="D15" s="25" t="s">
        <v>89</v>
      </c>
      <c r="E15" s="25" t="s">
        <v>90</v>
      </c>
      <c r="F15" s="27">
        <f>=IF(AND(D15="NOVA",E15="PRESENCIAL"),15,IF(AND(D15="FUP",E15="PRESENCIAL"),7.5,IF(D15="NOVA",7.5,IF(D15="FUP",5,0))))</f>
        <v>7.5</v>
      </c>
      <c r="G15" s="26" t="s">
        <v>209</v>
      </c>
    </row>
    <row r="16" ht="18" customHeight="1" spans="1:7" x14ac:dyDescent="0.25">
      <c r="A16" s="26" t="s">
        <v>129</v>
      </c>
      <c r="B16" s="26" t="s">
        <v>210</v>
      </c>
      <c r="C16" s="26" t="s">
        <v>1</v>
      </c>
      <c r="D16" s="25" t="s">
        <v>89</v>
      </c>
      <c r="E16" s="25" t="s">
        <v>90</v>
      </c>
      <c r="F16" s="27">
        <f>=IF(AND(D16="NOVA",E16="PRESENCIAL"),15,IF(AND(D16="FUP",E16="PRESENCIAL"),7.5,IF(D16="NOVA",7.5,IF(D16="FUP",5,0))))</f>
        <v>7.5</v>
      </c>
      <c r="G16" s="26" t="s">
        <v>211</v>
      </c>
    </row>
    <row r="17" ht="18" customHeight="1" spans="1:7" x14ac:dyDescent="0.25">
      <c r="A17" s="26" t="s">
        <v>132</v>
      </c>
      <c r="B17" s="26" t="s">
        <v>212</v>
      </c>
      <c r="C17" s="26" t="s">
        <v>1</v>
      </c>
      <c r="D17" s="25" t="s">
        <v>89</v>
      </c>
      <c r="E17" s="25" t="s">
        <v>90</v>
      </c>
      <c r="F17" s="27">
        <f>=IF(AND(D17="NOVA",E17="PRESENCIAL"),15,IF(AND(D17="FUP",E17="PRESENCIAL"),7.5,IF(D17="NOVA",7.5,IF(D17="FUP",5,0))))</f>
        <v>7.5</v>
      </c>
      <c r="G17" s="26" t="s">
        <v>213</v>
      </c>
    </row>
    <row r="18" ht="18" customHeight="1" spans="1:7" x14ac:dyDescent="0.25">
      <c r="A18" s="33" t="s">
        <v>132</v>
      </c>
      <c r="B18" s="33" t="s">
        <v>208</v>
      </c>
      <c r="C18" s="33" t="s">
        <v>1</v>
      </c>
      <c r="D18" s="34" t="s">
        <v>105</v>
      </c>
      <c r="E18" s="34" t="s">
        <v>90</v>
      </c>
      <c r="F18" s="35">
        <f>=IF(AND(D18="NOVA",E18="PRESENCIAL"),15,IF(AND(D18="FUP",E18="PRESENCIAL"),7.5,IF(D18="NOVA",7.5,IF(D18="FUP",5,0))))</f>
        <v>5</v>
      </c>
      <c r="G18" s="33" t="s">
        <v>209</v>
      </c>
    </row>
    <row r="19" ht="18" customHeight="1" spans="1:7" x14ac:dyDescent="0.25">
      <c r="A19" s="26" t="s">
        <v>132</v>
      </c>
      <c r="B19" s="26" t="s">
        <v>214</v>
      </c>
      <c r="C19" s="26" t="s">
        <v>1</v>
      </c>
      <c r="D19" s="25" t="s">
        <v>89</v>
      </c>
      <c r="E19" s="25" t="s">
        <v>90</v>
      </c>
      <c r="F19" s="27">
        <f>=IF(AND(D19="NOVA",E19="PRESENCIAL"),15,IF(AND(D19="FUP",E19="PRESENCIAL"),7.5,IF(D19="NOVA",7.5,IF(D19="FUP",5,0))))</f>
        <v>7.5</v>
      </c>
      <c r="G19" s="26" t="s">
        <v>215</v>
      </c>
    </row>
    <row r="20" ht="18" customHeight="1" spans="1:7" x14ac:dyDescent="0.25">
      <c r="A20" s="26" t="s">
        <v>132</v>
      </c>
      <c r="B20" s="26" t="s">
        <v>216</v>
      </c>
      <c r="C20" s="26" t="s">
        <v>1</v>
      </c>
      <c r="D20" s="25" t="s">
        <v>89</v>
      </c>
      <c r="E20" s="25" t="s">
        <v>90</v>
      </c>
      <c r="F20" s="27">
        <f>=IF(AND(D20="NOVA",E20="PRESENCIAL"),15,IF(AND(D20="FUP",E20="PRESENCIAL"),7.5,IF(D20="NOVA",7.5,IF(D20="FUP",5,0))))</f>
        <v>7.5</v>
      </c>
      <c r="G20" s="26" t="s">
        <v>217</v>
      </c>
    </row>
    <row r="21" ht="18" customHeight="1" spans="1:7" x14ac:dyDescent="0.25">
      <c r="A21" s="26" t="s">
        <v>140</v>
      </c>
      <c r="B21" s="26" t="s">
        <v>218</v>
      </c>
      <c r="C21" s="26" t="s">
        <v>1</v>
      </c>
      <c r="D21" s="25" t="s">
        <v>89</v>
      </c>
      <c r="E21" s="25" t="s">
        <v>90</v>
      </c>
      <c r="F21" s="27">
        <f>=IF(AND(D21="NOVA",E21="PRESENCIAL"),15,IF(AND(D21="FUP",E21="PRESENCIAL"),7.5,IF(D21="NOVA",7.5,IF(D21="FUP",5,0))))</f>
        <v>7.5</v>
      </c>
      <c r="G21" s="26" t="s">
        <v>219</v>
      </c>
    </row>
    <row r="22" ht="18" customHeight="1" spans="1:7" x14ac:dyDescent="0.25">
      <c r="A22" s="33" t="s">
        <v>174</v>
      </c>
      <c r="B22" s="33" t="s">
        <v>220</v>
      </c>
      <c r="C22" s="33" t="s">
        <v>1</v>
      </c>
      <c r="D22" s="34" t="s">
        <v>105</v>
      </c>
      <c r="E22" s="34" t="s">
        <v>90</v>
      </c>
      <c r="F22" s="35">
        <f>=IF(AND(D22="NOVA",E22="PRESENCIAL"),15,IF(AND(D22="FUP",E22="PRESENCIAL"),7.5,IF(D22="NOVA",7.5,IF(D22="FUP",5,0))))</f>
        <v>5</v>
      </c>
      <c r="G22" s="33" t="s">
        <v>221</v>
      </c>
    </row>
    <row r="24" spans="1:6" x14ac:dyDescent="0.25">
      <c r="A24" t="s">
        <v>1</v>
      </c>
      <c r="B24" s="8" t="s">
        <v>141</v>
      </c>
      <c r="C24" t="s">
        <v>1</v>
      </c>
      <c r="D24" s="36" t="s">
        <v>222</v>
      </c>
      <c r="E24" t="s">
        <v>1</v>
      </c>
      <c r="F24" s="7">
        <f>=SUM(F6:F23)</f>
        <v>120</v>
      </c>
    </row>
  </sheetData>
  <mergeCells count="1">
    <mergeCell ref="A1:G1"/>
  </mergeCells>
  <dataValidations count="4">
    <dataValidation type="list" sqref="D10:D22">
      <formula1>"NOVA,FUP"</formula1>
    </dataValidation>
    <dataValidation type="list" sqref="D6:D22">
      <formula1>"NOVA,FUP"</formula1>
    </dataValidation>
    <dataValidation type="list" sqref="E10:E22">
      <formula1>"VIDEO CONFERÊNCIA,PRESENCIAL"</formula1>
    </dataValidation>
    <dataValidation type="list" sqref="E6:E22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1" t="s">
        <v>223</v>
      </c>
      <c r="B1" s="31"/>
      <c r="C1" s="31"/>
      <c r="D1" s="31"/>
      <c r="E1" s="31"/>
      <c r="F1" s="31"/>
      <c r="G1" s="31"/>
    </row>
    <row r="3" ht="13" customHeight="1" spans="1:2" x14ac:dyDescent="0.25">
      <c r="A3" t="s">
        <v>1</v>
      </c>
      <c r="B3" s="32" t="s">
        <v>144</v>
      </c>
    </row>
    <row r="4" ht="22" customHeight="1" spans="1:7" x14ac:dyDescent="0.25">
      <c r="A4" s="3" t="s">
        <v>82</v>
      </c>
      <c r="B4" s="3" t="s">
        <v>49</v>
      </c>
      <c r="C4" s="3" t="s">
        <v>83</v>
      </c>
      <c r="D4" s="3" t="s">
        <v>84</v>
      </c>
      <c r="E4" s="3" t="s">
        <v>85</v>
      </c>
      <c r="F4" s="3" t="s">
        <v>51</v>
      </c>
      <c r="G4" s="3" t="s">
        <v>52</v>
      </c>
    </row>
    <row r="5" ht="13" customHeight="1" spans="1:2" x14ac:dyDescent="0.25">
      <c r="A5" t="s">
        <v>1</v>
      </c>
      <c r="B5" s="19" t="s">
        <v>86</v>
      </c>
    </row>
    <row r="6" ht="18" customHeight="1" spans="1:7" x14ac:dyDescent="0.25">
      <c r="A6" s="26" t="s">
        <v>74</v>
      </c>
      <c r="B6" s="26" t="s">
        <v>224</v>
      </c>
      <c r="C6" s="26" t="s">
        <v>1</v>
      </c>
      <c r="D6" s="25" t="s">
        <v>89</v>
      </c>
      <c r="E6" s="25" t="s">
        <v>90</v>
      </c>
      <c r="F6" s="27">
        <f>=IF(AND(D6="NOVA",E6="PRESENCIAL"),15,IF(AND(D6="FUP",E6="PRESENCIAL"),7.5,IF(D6="NOVA",7.5,IF(D6="FUP",5,0))))</f>
        <v>7.5</v>
      </c>
      <c r="G6" s="26" t="s">
        <v>225</v>
      </c>
    </row>
    <row r="7" ht="18" customHeight="1" spans="1:7" x14ac:dyDescent="0.25">
      <c r="A7" s="26" t="s">
        <v>74</v>
      </c>
      <c r="B7" s="26" t="s">
        <v>226</v>
      </c>
      <c r="C7" s="26" t="s">
        <v>1</v>
      </c>
      <c r="D7" s="25" t="s">
        <v>89</v>
      </c>
      <c r="E7" s="25" t="s">
        <v>90</v>
      </c>
      <c r="F7" s="27">
        <f>=IF(AND(D7="NOVA",E7="PRESENCIAL"),15,IF(AND(D7="FUP",E7="PRESENCIAL"),7.5,IF(D7="NOVA",7.5,IF(D7="FUP",5,0))))</f>
        <v>7.5</v>
      </c>
      <c r="G7" s="26" t="s">
        <v>227</v>
      </c>
    </row>
    <row r="8" ht="18" customHeight="1" spans="1:7" x14ac:dyDescent="0.25">
      <c r="A8" s="26" t="s">
        <v>94</v>
      </c>
      <c r="B8" s="26" t="s">
        <v>228</v>
      </c>
      <c r="C8" s="26" t="s">
        <v>1</v>
      </c>
      <c r="D8" s="25" t="s">
        <v>89</v>
      </c>
      <c r="E8" s="25" t="s">
        <v>90</v>
      </c>
      <c r="F8" s="27">
        <f>=IF(AND(D8="NOVA",E8="PRESENCIAL"),15,IF(AND(D8="FUP",E8="PRESENCIAL"),7.5,IF(D8="NOVA",7.5,IF(D8="FUP",5,0))))</f>
        <v>7.5</v>
      </c>
      <c r="G8" s="26" t="s">
        <v>229</v>
      </c>
    </row>
    <row r="9" ht="18" customHeight="1" spans="1:7" x14ac:dyDescent="0.25">
      <c r="A9" s="26" t="s">
        <v>94</v>
      </c>
      <c r="B9" s="26" t="s">
        <v>230</v>
      </c>
      <c r="C9" s="26" t="s">
        <v>1</v>
      </c>
      <c r="D9" s="25" t="s">
        <v>89</v>
      </c>
      <c r="E9" s="25" t="s">
        <v>90</v>
      </c>
      <c r="F9" s="27">
        <f>=IF(AND(D9="NOVA",E9="PRESENCIAL"),15,IF(AND(D9="FUP",E9="PRESENCIAL"),7.5,IF(D9="NOVA",7.5,IF(D9="FUP",5,0))))</f>
        <v>7.5</v>
      </c>
      <c r="G9" s="26" t="s">
        <v>231</v>
      </c>
    </row>
    <row r="10" ht="18" customHeight="1" spans="1:7" x14ac:dyDescent="0.25">
      <c r="A10" s="26" t="s">
        <v>97</v>
      </c>
      <c r="B10" s="26" t="s">
        <v>232</v>
      </c>
      <c r="C10" s="26" t="s">
        <v>1</v>
      </c>
      <c r="D10" s="25" t="s">
        <v>89</v>
      </c>
      <c r="E10" s="25" t="s">
        <v>90</v>
      </c>
      <c r="F10" s="27">
        <f>=IF(AND(D10="NOVA",E10="PRESENCIAL"),15,IF(AND(D10="FUP",E10="PRESENCIAL"),7.5,IF(D10="NOVA",7.5,IF(D10="FUP",5,0))))</f>
        <v>7.5</v>
      </c>
      <c r="G10" s="26" t="s">
        <v>233</v>
      </c>
    </row>
    <row r="11" ht="18" customHeight="1" spans="1:7" x14ac:dyDescent="0.25">
      <c r="A11" s="26" t="s">
        <v>57</v>
      </c>
      <c r="B11" s="26" t="s">
        <v>234</v>
      </c>
      <c r="C11" s="26" t="s">
        <v>1</v>
      </c>
      <c r="D11" s="25" t="s">
        <v>89</v>
      </c>
      <c r="E11" s="25" t="s">
        <v>90</v>
      </c>
      <c r="F11" s="27">
        <f>=IF(AND(D11="NOVA",E11="PRESENCIAL"),15,IF(AND(D11="FUP",E11="PRESENCIAL"),7.5,IF(D11="NOVA",7.5,IF(D11="FUP",5,0))))</f>
        <v>7.5</v>
      </c>
      <c r="G11" s="26" t="s">
        <v>235</v>
      </c>
    </row>
    <row r="12" ht="18" customHeight="1" spans="1:7" x14ac:dyDescent="0.25">
      <c r="A12" s="26" t="s">
        <v>108</v>
      </c>
      <c r="B12" s="26" t="s">
        <v>236</v>
      </c>
      <c r="C12" s="26" t="s">
        <v>1</v>
      </c>
      <c r="D12" s="25" t="s">
        <v>89</v>
      </c>
      <c r="E12" s="25" t="s">
        <v>90</v>
      </c>
      <c r="F12" s="27">
        <f>=IF(AND(D12="NOVA",E12="PRESENCIAL"),15,IF(AND(D12="FUP",E12="PRESENCIAL"),7.5,IF(D12="NOVA",7.5,IF(D12="FUP",5,0))))</f>
        <v>7.5</v>
      </c>
      <c r="G12" s="26" t="s">
        <v>237</v>
      </c>
    </row>
    <row r="13" ht="18" customHeight="1" spans="1:7" x14ac:dyDescent="0.25">
      <c r="A13" s="26" t="s">
        <v>111</v>
      </c>
      <c r="B13" s="26" t="s">
        <v>238</v>
      </c>
      <c r="C13" s="26" t="s">
        <v>1</v>
      </c>
      <c r="D13" s="25" t="s">
        <v>89</v>
      </c>
      <c r="E13" s="25" t="s">
        <v>90</v>
      </c>
      <c r="F13" s="27">
        <f>=IF(AND(D13="NOVA",E13="PRESENCIAL"),15,IF(AND(D13="FUP",E13="PRESENCIAL"),7.5,IF(D13="NOVA",7.5,IF(D13="FUP",5,0))))</f>
        <v>7.5</v>
      </c>
      <c r="G13" s="26" t="s">
        <v>239</v>
      </c>
    </row>
    <row r="14" ht="18" customHeight="1" spans="1:7" x14ac:dyDescent="0.25">
      <c r="A14" s="26" t="s">
        <v>129</v>
      </c>
      <c r="B14" s="26" t="s">
        <v>240</v>
      </c>
      <c r="C14" s="26" t="s">
        <v>1</v>
      </c>
      <c r="D14" s="25" t="s">
        <v>89</v>
      </c>
      <c r="E14" s="25" t="s">
        <v>90</v>
      </c>
      <c r="F14" s="27">
        <f>=IF(AND(D14="NOVA",E14="PRESENCIAL"),15,IF(AND(D14="FUP",E14="PRESENCIAL"),7.5,IF(D14="NOVA",7.5,IF(D14="FUP",5,0))))</f>
        <v>7.5</v>
      </c>
      <c r="G14" s="26" t="s">
        <v>241</v>
      </c>
    </row>
    <row r="15" ht="18" customHeight="1" spans="1:7" x14ac:dyDescent="0.25">
      <c r="A15" s="26" t="s">
        <v>132</v>
      </c>
      <c r="B15" s="26" t="s">
        <v>242</v>
      </c>
      <c r="C15" s="26" t="s">
        <v>1</v>
      </c>
      <c r="D15" s="25" t="s">
        <v>89</v>
      </c>
      <c r="E15" s="25" t="s">
        <v>90</v>
      </c>
      <c r="F15" s="27">
        <f>=IF(AND(D15="NOVA",E15="PRESENCIAL"),15,IF(AND(D15="FUP",E15="PRESENCIAL"),7.5,IF(D15="NOVA",7.5,IF(D15="FUP",5,0))))</f>
        <v>7.5</v>
      </c>
      <c r="G15" s="26" t="s">
        <v>243</v>
      </c>
    </row>
    <row r="16" ht="18" customHeight="1" spans="1:7" x14ac:dyDescent="0.25">
      <c r="A16" s="26" t="s">
        <v>169</v>
      </c>
      <c r="B16" s="26" t="s">
        <v>244</v>
      </c>
      <c r="C16" s="26" t="s">
        <v>1</v>
      </c>
      <c r="D16" s="25" t="s">
        <v>89</v>
      </c>
      <c r="E16" s="25" t="s">
        <v>90</v>
      </c>
      <c r="F16" s="27">
        <f>=IF(AND(D16="NOVA",E16="PRESENCIAL"),15,IF(AND(D16="FUP",E16="PRESENCIAL"),7.5,IF(D16="NOVA",7.5,IF(D16="FUP",5,0))))</f>
        <v>7.5</v>
      </c>
      <c r="G16" s="26" t="s">
        <v>245</v>
      </c>
    </row>
    <row r="17" ht="18" customHeight="1" spans="1:7" x14ac:dyDescent="0.25">
      <c r="A17" s="26" t="s">
        <v>169</v>
      </c>
      <c r="B17" s="26" t="s">
        <v>246</v>
      </c>
      <c r="C17" s="26" t="s">
        <v>1</v>
      </c>
      <c r="D17" s="25" t="s">
        <v>89</v>
      </c>
      <c r="E17" s="25" t="s">
        <v>90</v>
      </c>
      <c r="F17" s="27">
        <f>=IF(AND(D17="NOVA",E17="PRESENCIAL"),15,IF(AND(D17="FUP",E17="PRESENCIAL"),7.5,IF(D17="NOVA",7.5,IF(D17="FUP",5,0))))</f>
        <v>7.5</v>
      </c>
      <c r="G17" s="26" t="s">
        <v>247</v>
      </c>
    </row>
    <row r="18" ht="18" customHeight="1" spans="1:7" x14ac:dyDescent="0.25">
      <c r="A18" s="26" t="s">
        <v>169</v>
      </c>
      <c r="B18" s="26" t="s">
        <v>248</v>
      </c>
      <c r="C18" s="26" t="s">
        <v>1</v>
      </c>
      <c r="D18" s="25" t="s">
        <v>89</v>
      </c>
      <c r="E18" s="25" t="s">
        <v>90</v>
      </c>
      <c r="F18" s="27">
        <f>=IF(AND(D18="NOVA",E18="PRESENCIAL"),15,IF(AND(D18="FUP",E18="PRESENCIAL"),7.5,IF(D18="NOVA",7.5,IF(D18="FUP",5,0))))</f>
        <v>7.5</v>
      </c>
      <c r="G18" s="26" t="s">
        <v>249</v>
      </c>
    </row>
    <row r="19" ht="18" customHeight="1" spans="1:7" x14ac:dyDescent="0.25">
      <c r="A19" s="26" t="s">
        <v>250</v>
      </c>
      <c r="B19" s="26" t="s">
        <v>251</v>
      </c>
      <c r="C19" s="26" t="s">
        <v>1</v>
      </c>
      <c r="D19" s="25" t="s">
        <v>89</v>
      </c>
      <c r="E19" s="25" t="s">
        <v>90</v>
      </c>
      <c r="F19" s="27">
        <f>=IF(AND(D19="NOVA",E19="PRESENCIAL"),15,IF(AND(D19="FUP",E19="PRESENCIAL"),7.5,IF(D19="NOVA",7.5,IF(D19="FUP",5,0))))</f>
        <v>7.5</v>
      </c>
      <c r="G19" s="26" t="s">
        <v>252</v>
      </c>
    </row>
    <row r="20" ht="18" customHeight="1" spans="1:7" x14ac:dyDescent="0.25">
      <c r="A20" s="33" t="s">
        <v>174</v>
      </c>
      <c r="B20" s="33" t="s">
        <v>253</v>
      </c>
      <c r="C20" s="33" t="s">
        <v>1</v>
      </c>
      <c r="D20" s="34" t="s">
        <v>105</v>
      </c>
      <c r="E20" s="34" t="s">
        <v>90</v>
      </c>
      <c r="F20" s="35">
        <f>=IF(AND(D20="NOVA",E20="PRESENCIAL"),15,IF(AND(D20="FUP",E20="PRESENCIAL"),7.5,IF(D20="NOVA",7.5,IF(D20="FUP",5,0))))</f>
        <v>5</v>
      </c>
      <c r="G20" s="33" t="s">
        <v>254</v>
      </c>
    </row>
    <row r="22" spans="1:6" x14ac:dyDescent="0.25">
      <c r="A22" t="s">
        <v>1</v>
      </c>
      <c r="B22" s="8" t="s">
        <v>141</v>
      </c>
      <c r="C22" t="s">
        <v>1</v>
      </c>
      <c r="D22" s="36" t="s">
        <v>255</v>
      </c>
      <c r="E22" t="s">
        <v>1</v>
      </c>
      <c r="F22" s="7">
        <f>=SUM(F6:F21)</f>
        <v>110</v>
      </c>
    </row>
  </sheetData>
  <mergeCells count="1">
    <mergeCell ref="A1:G1"/>
  </mergeCells>
  <dataValidations count="4">
    <dataValidation type="list" sqref="D10:D20">
      <formula1>"NOVA,FUP"</formula1>
    </dataValidation>
    <dataValidation type="list" sqref="D6:D20">
      <formula1>"NOVA,FUP"</formula1>
    </dataValidation>
    <dataValidation type="list" sqref="E10:E20">
      <formula1>"VIDEO CONFERÊNCIA,PRESENCIAL"</formula1>
    </dataValidation>
    <dataValidation type="list" sqref="E6:E20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Negócios Fechados</vt:lpstr>
      <vt:lpstr>Gabriel</vt:lpstr>
      <vt:lpstr>Kailany</vt:lpstr>
      <vt:lpstr>Larissa</vt:lpstr>
      <vt:lpstr>Lawanny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2026-09-18T16:21:26Z</dcterms:created>
  <dcterms:modified xsi:type="dcterms:W3CDTF">2026-09-18T16:21:26Z</dcterms:modified>
</cp:coreProperties>
</file>