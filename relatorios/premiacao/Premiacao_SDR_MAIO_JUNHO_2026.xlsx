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Negócios Fechados" state="visible" r:id="rId5"/>
    <sheet sheetId="3" name="Igor Vasconcelos" state="visible" r:id="rId6"/>
    <sheet sheetId="4" name="Gabriel" state="visible" r:id="rId7"/>
    <sheet sheetId="5" name="Michelle" state="visible" r:id="rId8"/>
    <sheet sheetId="6" name="Kailany" state="visible" r:id="rId9"/>
    <sheet sheetId="7" name="Ana Karolayne" state="visible" r:id="rId10"/>
    <sheet sheetId="8" name="Igor" state="visible" r:id="rId11"/>
    <sheet sheetId="9" name="Larissa" state="visible" r:id="rId12"/>
    <sheet sheetId="10" name="Ana Belle" state="visible" r:id="rId13"/>
    <sheet sheetId="11" name="Leticia" state="visible" r:id="rId14"/>
    <sheet sheetId="12" name="Ana Beatriz" state="visible" r:id="rId15"/>
    <sheet sheetId="13" name="Lawanny" state="visible" r:id="rId16"/>
    <sheet sheetId="14" name="Railanne" state="visible" r:id="rId17"/>
  </sheets>
  <calcPr calcId="171027"/>
</workbook>
</file>

<file path=xl/sharedStrings.xml><?xml version="1.0" encoding="utf-8"?>
<sst xmlns="http://schemas.openxmlformats.org/spreadsheetml/2006/main" count="1489" uniqueCount="462">
  <si>
    <t>PREMIAÇÃO SDR — GRUPO VIGNA — 21/05 → 19/06/2026</t>
  </si>
  <si>
    <t/>
  </si>
  <si>
    <t>— EQUIPE GABRIEL —</t>
  </si>
  <si>
    <t>SDR</t>
  </si>
  <si>
    <t>NOVAS</t>
  </si>
  <si>
    <t>FUPs</t>
  </si>
  <si>
    <t>TOTAL REUNIÕES</t>
  </si>
  <si>
    <t>COMISSÃO REUNIÕES</t>
  </si>
  <si>
    <t>FECHAMENTOS</t>
  </si>
  <si>
    <t>VALOR UNIT.</t>
  </si>
  <si>
    <t>COMISSÃO FECHAMENTOS</t>
  </si>
  <si>
    <t>TOTAL GERAL</t>
  </si>
  <si>
    <t>Gabriel</t>
  </si>
  <si>
    <t>(blocos)</t>
  </si>
  <si>
    <t>Michelle</t>
  </si>
  <si>
    <t>Kailany</t>
  </si>
  <si>
    <t>Ana Karolayne</t>
  </si>
  <si>
    <t>Igor</t>
  </si>
  <si>
    <t>SUBTOTAL GABRIEL</t>
  </si>
  <si>
    <t>— EQUIPE PAOLA —</t>
  </si>
  <si>
    <t>Larissa</t>
  </si>
  <si>
    <t>Ana Belle</t>
  </si>
  <si>
    <t>Leticia</t>
  </si>
  <si>
    <t>Ana Beatriz</t>
  </si>
  <si>
    <t>Lawanny</t>
  </si>
  <si>
    <t>Railanne</t>
  </si>
  <si>
    <t>SUBTOTAL PAOLA</t>
  </si>
  <si>
    <t>Igor Vasconcelos</t>
  </si>
  <si>
    <t>TABELA DE VALORES</t>
  </si>
  <si>
    <t>REUNIÕES — NOVA</t>
  </si>
  <si>
    <t>R$ 7,50</t>
  </si>
  <si>
    <t>REUNIÕES — FUP</t>
  </si>
  <si>
    <t>R$ 5,00</t>
  </si>
  <si>
    <t>NEGÓCIOS FECHADOS — 1 a 4</t>
  </si>
  <si>
    <t>R$ 125,00/cada</t>
  </si>
  <si>
    <t>NEGÓCIOS FECHADOS — 5 a 9</t>
  </si>
  <si>
    <t>R$ 150,00/cada</t>
  </si>
  <si>
    <t>NEGÓCIOS FECHADOS — 10 ou +</t>
  </si>
  <si>
    <t>R$ 250,00/cada</t>
  </si>
  <si>
    <t>NEGÓCIOS FECHADOS — GRUPO VIGNA — MAIO/JUNHO 2026</t>
  </si>
  <si>
    <t>⬛ 1–5 contratos: R$ 120/cada</t>
  </si>
  <si>
    <t>⬛ 6–10 contratos: R$ 150/cada</t>
  </si>
  <si>
    <t>⬛ 11+ contratos: R$ 180/cada</t>
  </si>
  <si>
    <t>GABRIEL</t>
  </si>
  <si>
    <t>DATA FECHAMENTO</t>
  </si>
  <si>
    <t>EMPRESA</t>
  </si>
  <si>
    <t>PRODUTO / SERVIÇO</t>
  </si>
  <si>
    <t>VALOR</t>
  </si>
  <si>
    <t>LINK AGENDOR</t>
  </si>
  <si>
    <t>01/06/2026</t>
  </si>
  <si>
    <t>GRUPO USI PHARMA/ GRUPO ADMPHARMA</t>
  </si>
  <si>
    <t>COMPLIANCE NR1+</t>
  </si>
  <si>
    <t>https://beta.agendor.com.br/tasks?organizationId=51808233</t>
  </si>
  <si>
    <t>09/06/2026</t>
  </si>
  <si>
    <t>FARMACIA SAGRADO CORACAO LTDA (REDE ADMPHARMA)</t>
  </si>
  <si>
    <t>https://beta.agendor.com.br/tasks?organizationId=52152387</t>
  </si>
  <si>
    <t>18/06/2026</t>
  </si>
  <si>
    <t>GRUPO SOL DIESEL</t>
  </si>
  <si>
    <t>https://beta.agendor.com.br/tasks?organizationId=51860883</t>
  </si>
  <si>
    <t>16/06/2026</t>
  </si>
  <si>
    <t>Rogga Construtora</t>
  </si>
  <si>
    <t>DUE DILIGENCE</t>
  </si>
  <si>
    <t>https://beta.agendor.com.br/tasks?organizationId=19201608</t>
  </si>
  <si>
    <t>FUNDACAO MARIA CECILIA SOUTO VIDIGAL</t>
  </si>
  <si>
    <t>GESTÃO DE TERCEIROS CC</t>
  </si>
  <si>
    <t>https://beta.agendor.com.br/tasks?organizationId=555922</t>
  </si>
  <si>
    <t>05/06/2026</t>
  </si>
  <si>
    <t>Confederação Brasileira de Voleibol</t>
  </si>
  <si>
    <t>VAA - PENAL</t>
  </si>
  <si>
    <t>https://beta.agendor.com.br/tasks?organizationId=18909894</t>
  </si>
  <si>
    <t>03/06/2026</t>
  </si>
  <si>
    <t>29/05/2026</t>
  </si>
  <si>
    <t>BIG X MOTO PECAS LTDA</t>
  </si>
  <si>
    <t>VAA - MARCAS</t>
  </si>
  <si>
    <t>https://beta.agendor.com.br/tasks?organizationId=24911215</t>
  </si>
  <si>
    <t>28/05/2026</t>
  </si>
  <si>
    <t>REDE HIPERFARMA</t>
  </si>
  <si>
    <t>CANAL DE DENUNCIA</t>
  </si>
  <si>
    <t>https://beta.agendor.com.br/tasks?organizationId=51236306</t>
  </si>
  <si>
    <t>LEGAL TRAINING</t>
  </si>
  <si>
    <t>26/05/2026</t>
  </si>
  <si>
    <t>BMK ARMAZENS GERAIS LTDA</t>
  </si>
  <si>
    <t>VAA - CONSULTIVO</t>
  </si>
  <si>
    <t>https://beta.agendor.com.br/tasks?organizationId=543897</t>
  </si>
  <si>
    <t>22/05/2026</t>
  </si>
  <si>
    <t>ALERGOSHOP</t>
  </si>
  <si>
    <t>TREINAMENTO NR-1</t>
  </si>
  <si>
    <t>https://beta.agendor.com.br/tasks?organizationId=25377699</t>
  </si>
  <si>
    <t>TOTAL: 12 fechamento(s)</t>
  </si>
  <si>
    <t>MICHELLE</t>
  </si>
  <si>
    <t>19/06/2026</t>
  </si>
  <si>
    <t>MAURANO MAURANO LTDA</t>
  </si>
  <si>
    <t>VIGNATAX - REVISÃO FISCAL</t>
  </si>
  <si>
    <t>https://beta.agendor.com.br/tasks?organizationId=27503902</t>
  </si>
  <si>
    <t>PAVIPARTS</t>
  </si>
  <si>
    <t>VAA - RECUPERAÇÃO DE CREDITO</t>
  </si>
  <si>
    <t>https://beta.agendor.com.br/tasks?organizationId=32461975</t>
  </si>
  <si>
    <t>TOTAL: 2 fechamento(s)</t>
  </si>
  <si>
    <t>KAILANY</t>
  </si>
  <si>
    <t>12/06/2026</t>
  </si>
  <si>
    <t>ARBORGEN TECNOLOGIA FLORESTAL LTDA.</t>
  </si>
  <si>
    <t>https://beta.agendor.com.br/tasks?organizationId=48023597</t>
  </si>
  <si>
    <t>GETNINJAS LTDA</t>
  </si>
  <si>
    <t>https://beta.agendor.com.br/tasks?organizationId=36090951</t>
  </si>
  <si>
    <t>ANA BEATRIZ</t>
  </si>
  <si>
    <t>17/06/2026</t>
  </si>
  <si>
    <t>ZUM SERVICOS DE TELECOMUNICACOES LTDA</t>
  </si>
  <si>
    <t>https://beta.agendor.com.br/tasks?organizationId=52279420</t>
  </si>
  <si>
    <t>SERVOPA S A COMERCIO E INDUSTRIA</t>
  </si>
  <si>
    <t>VTAX - COMPLIANCE FISCAL</t>
  </si>
  <si>
    <t>https://beta.agendor.com.br/tasks?organizationId=545521</t>
  </si>
  <si>
    <t>10/06/2026</t>
  </si>
  <si>
    <t>DISTRIBUIDORA MULLER COMERCIO E REPRESENTACOES LTDA</t>
  </si>
  <si>
    <t>https://beta.agendor.com.br/tasks?organizationId=32781192</t>
  </si>
  <si>
    <t>NEOVG DERIVADOS DE PETROLEO S/A</t>
  </si>
  <si>
    <t>VIGNATAX - OPORTUNIDADES TRIBUTÁRIAS</t>
  </si>
  <si>
    <t>https://beta.agendor.com.br/tasks?organizationId=45433432</t>
  </si>
  <si>
    <t>IMUNA BALISTICA</t>
  </si>
  <si>
    <t>https://beta.agendor.com.br/tasks?organizationId=34422747</t>
  </si>
  <si>
    <t>TOTAL: 5 fechamento(s)</t>
  </si>
  <si>
    <t>LAWANNY</t>
  </si>
  <si>
    <t>15/06/2026</t>
  </si>
  <si>
    <t>X5 COMPANY</t>
  </si>
  <si>
    <t>https://beta.agendor.com.br/tasks?organizationId=27827495</t>
  </si>
  <si>
    <t>VANROO ATACADISTA DISTRIBUIDOR LTDA</t>
  </si>
  <si>
    <t>https://beta.agendor.com.br/tasks?organizationId=50515553</t>
  </si>
  <si>
    <t>25/05/2026</t>
  </si>
  <si>
    <t>PCF SOLUCOES LTDA</t>
  </si>
  <si>
    <t>https://beta.agendor.com.br/tasks?organizationId=36298212</t>
  </si>
  <si>
    <t>TOTAL: 3 fechamento(s)</t>
  </si>
  <si>
    <t>IGOR VASCONCELOS</t>
  </si>
  <si>
    <t>27/05/2026</t>
  </si>
  <si>
    <t>CAVAZANI EMPREENDIMENTOS IMOBILIARIOS LTDA</t>
  </si>
  <si>
    <t>https://beta.agendor.com.br/tasks?organizationId=43840892</t>
  </si>
  <si>
    <t>21/05/2026</t>
  </si>
  <si>
    <t>ARMAZEM SANTA FILOMENA</t>
  </si>
  <si>
    <t>VAA - SOCIETÁRIO</t>
  </si>
  <si>
    <t>https://beta.agendor.com.br/tasks?organizationId=47928218</t>
  </si>
  <si>
    <t>TOTAL GERAL — NEGÓCIOS FECHADOS</t>
  </si>
  <si>
    <t>IGOR VASCONCELOS — NEGÓCIOS FECHADOS — MAIO/JUNHO 2026</t>
  </si>
  <si>
    <t>⬛ 1–5: R$120/cada</t>
  </si>
  <si>
    <t>⬛ 6–10: R$150/cada</t>
  </si>
  <si>
    <t>⬛ 11+: R$180/cada</t>
  </si>
  <si>
    <t>PREMIAÇÃO — GABRIEL (Equipe Gabriel) — 21/05 → 19/06/2026</t>
  </si>
  <si>
    <t>DATA</t>
  </si>
  <si>
    <t>ÁREA</t>
  </si>
  <si>
    <t>TIPO</t>
  </si>
  <si>
    <t>MODALIDADE</t>
  </si>
  <si>
    <t>⚡ Altere TIPO (NOVA/FUP) → VALOR atualiza automaticamente</t>
  </si>
  <si>
    <t>ROCKTEC INDUSTRIA E COMERCIO DE ISOLANTES - Indicação Allen</t>
  </si>
  <si>
    <t>NOVA</t>
  </si>
  <si>
    <t>VIDEO CONFERÊNCIA</t>
  </si>
  <si>
    <t>https://beta.agendor.com.br/tasks?organizationId=47266148</t>
  </si>
  <si>
    <t>CERPA CERVEJARIA PARAENSE S/A.</t>
  </si>
  <si>
    <t>https://beta.agendor.com.br/tasks?organizationId=2867028</t>
  </si>
  <si>
    <t>DR ONLINE 24HRS</t>
  </si>
  <si>
    <t>https://beta.agendor.com.br/tasks?organizationId=41714007</t>
  </si>
  <si>
    <t>REVISÃO FISCAL</t>
  </si>
  <si>
    <t>Orcali Servicos de Seguranca Ltda</t>
  </si>
  <si>
    <t>https://beta.agendor.com.br/tasks?organizationId=28305948</t>
  </si>
  <si>
    <t>Construtora R.Yazbek</t>
  </si>
  <si>
    <t>https://beta.agendor.com.br/tasks?organizationId=24171467</t>
  </si>
  <si>
    <t>GRUPO ASFAR</t>
  </si>
  <si>
    <t>https://beta.agendor.com.br/tasks?organizationId=51868545</t>
  </si>
  <si>
    <t>02/06/2026</t>
  </si>
  <si>
    <t>AVIPAM VIAGENS E TURISMO LTDA</t>
  </si>
  <si>
    <t>https://beta.agendor.com.br/tasks?organizationId=51868786</t>
  </si>
  <si>
    <t>FUP</t>
  </si>
  <si>
    <t>08/06/2026</t>
  </si>
  <si>
    <t>La vita alimentos</t>
  </si>
  <si>
    <t>https://beta.agendor.com.br/tasks?organizationId=29529897</t>
  </si>
  <si>
    <t>WN MULTISERVICOS LTDA</t>
  </si>
  <si>
    <t>CANAL DE DENÚNCIAS</t>
  </si>
  <si>
    <t>https://beta.agendor.com.br/tasks?organizationId=50749150</t>
  </si>
  <si>
    <t>Compliance nr1+</t>
  </si>
  <si>
    <t>TOTAL</t>
  </si>
  <si>
    <t>14 N / 2 F</t>
  </si>
  <si>
    <t>PREMIAÇÃO — MICHELLE (Equipe Gabriel) — 21/05 → 19/06/2026</t>
  </si>
  <si>
    <t>ORGANIZACAO G NEVES LTDA</t>
  </si>
  <si>
    <t>https://beta.agendor.com.br/tasks?organizationId=48538920</t>
  </si>
  <si>
    <t>CURTIDORA ITAUNA LTDA</t>
  </si>
  <si>
    <t>https://beta.agendor.com.br/tasks?organizationId=36801900</t>
  </si>
  <si>
    <t>FLUIDO INDUSTRIA E COMERCIO DE MAQUINAS LTDA</t>
  </si>
  <si>
    <t>https://beta.agendor.com.br/tasks?organizationId=48475411</t>
  </si>
  <si>
    <t>INDUSTRIA QUIMICA DIPIL LTDA</t>
  </si>
  <si>
    <t>https://beta.agendor.com.br/tasks?organizationId=556149</t>
  </si>
  <si>
    <t>UNIMED CHAPECÓ</t>
  </si>
  <si>
    <t>https://beta.agendor.com.br/tasks?organizationId=24358078</t>
  </si>
  <si>
    <t>LOGICTEL SA</t>
  </si>
  <si>
    <t>https://beta.agendor.com.br/tasks?organizationId=547374</t>
  </si>
  <si>
    <t>DIMEP SISTEMAS LTDA / PAMDIR PARTICIPACOES LTDA</t>
  </si>
  <si>
    <t>https://beta.agendor.com.br/tasks?organizationId=831025</t>
  </si>
  <si>
    <t>Armazens Mizote</t>
  </si>
  <si>
    <t>https://beta.agendor.com.br/tasks?organizationId=50982630</t>
  </si>
  <si>
    <t>GEOSOL</t>
  </si>
  <si>
    <t>https://beta.agendor.com.br/tasks?organizationId=11938276</t>
  </si>
  <si>
    <t>LUMCO SOLUCOES LOGISTICAS LTDA / 7 A T LOGISTICA PERSONALIZADA</t>
  </si>
  <si>
    <t>https://beta.agendor.com.br/tasks?organizationId=36815860</t>
  </si>
  <si>
    <t>CERBRAS</t>
  </si>
  <si>
    <t>https://beta.agendor.com.br/tasks?organizationId=34004326</t>
  </si>
  <si>
    <t>PRODESMEC SERV E DES LTDA ME</t>
  </si>
  <si>
    <t>https://beta.agendor.com.br/tasks?organizationId=540772</t>
  </si>
  <si>
    <t>MAGIK JC EMPREENDIMENTOS IMOBILIARIOS E CONSTRUCOES LTDA.</t>
  </si>
  <si>
    <t>https://beta.agendor.com.br/tasks?organizationId=49965738</t>
  </si>
  <si>
    <t>BRASITALIA - AGREGADOS PARA CONSTRUCAO LTDA</t>
  </si>
  <si>
    <t>PRESENCIAL</t>
  </si>
  <si>
    <t>https://beta.agendor.com.br/tasks?organizationId=43029912</t>
  </si>
  <si>
    <t>AEROPORTO TERRAVISTA LTDA.</t>
  </si>
  <si>
    <t>https://beta.agendor.com.br/tasks?organizationId=48483951</t>
  </si>
  <si>
    <t>04/06/2026</t>
  </si>
  <si>
    <t>PELICANO CONSTRUCOES S.A.</t>
  </si>
  <si>
    <t>https://beta.agendor.com.br/tasks?organizationId=35993140</t>
  </si>
  <si>
    <t>BSB PRODUTORA DE EQUIPAMENTOS DE PROTECAO/ BRACOL</t>
  </si>
  <si>
    <t>https://beta.agendor.com.br/tasks?organizationId=552597</t>
  </si>
  <si>
    <t>LABORATORIO TEUTO BRASILEIRO SA</t>
  </si>
  <si>
    <t>https://beta.agendor.com.br/tasks?organizationId=542643</t>
  </si>
  <si>
    <t>PROLOGIS LOGISTICA</t>
  </si>
  <si>
    <t>https://beta.agendor.com.br/tasks?organizationId=32902722</t>
  </si>
  <si>
    <t>MASTROTTO BRASIL SA</t>
  </si>
  <si>
    <t>https://beta.agendor.com.br/tasks?organizationId=556485</t>
  </si>
  <si>
    <t>SKYMARK GERENCIAMENTO DE RISCOS LTDA</t>
  </si>
  <si>
    <t>https://beta.agendor.com.br/tasks?organizationId=41832087</t>
  </si>
  <si>
    <t>RMS REGAL MANAGEMENT</t>
  </si>
  <si>
    <t>https://beta.agendor.com.br/tasks?organizationId=47394934</t>
  </si>
  <si>
    <t>CERAMICA MINAS BRASIL LTDA</t>
  </si>
  <si>
    <t>https://beta.agendor.com.br/tasks?organizationId=36803710</t>
  </si>
  <si>
    <t>ABACATEIRO FILMES</t>
  </si>
  <si>
    <t>https://beta.agendor.com.br/tasks?organizationId=52279453</t>
  </si>
  <si>
    <t>S.A PAULISTA CONSTRUTORA</t>
  </si>
  <si>
    <t>https://beta.agendor.com.br/tasks?organizationId=17747754</t>
  </si>
  <si>
    <t>NEOENERGIA SA</t>
  </si>
  <si>
    <t>https://beta.agendor.com.br/tasks?organizationId=540524</t>
  </si>
  <si>
    <t>27 N / 8 F</t>
  </si>
  <si>
    <t>PREMIAÇÃO — KAILANY (Equipe Gabriel) — 21/05 → 19/06/2026</t>
  </si>
  <si>
    <t>Netflix Entretenimento Brasil Ltda</t>
  </si>
  <si>
    <t>https://beta.agendor.com.br/tasks?organizationId=12924028</t>
  </si>
  <si>
    <t>UNIMED RESENDE</t>
  </si>
  <si>
    <t>https://beta.agendor.com.br/tasks?organizationId=24767363</t>
  </si>
  <si>
    <t>Austral Seguradora</t>
  </si>
  <si>
    <t>https://beta.agendor.com.br/tasks?organizationId=878373</t>
  </si>
  <si>
    <t>SEFIX - EVENTOS E SERVICOS LTDA</t>
  </si>
  <si>
    <t>https://beta.agendor.com.br/tasks?organizationId=51663374</t>
  </si>
  <si>
    <t>SUPERMERCADO MENDES</t>
  </si>
  <si>
    <t>https://beta.agendor.com.br/tasks?organizationId=51841588</t>
  </si>
  <si>
    <t>Progressul Sistemas de Energia</t>
  </si>
  <si>
    <t>https://beta.agendor.com.br/tasks?organizationId=44702956</t>
  </si>
  <si>
    <t>AMBEV S.A</t>
  </si>
  <si>
    <t>https://beta.agendor.com.br/tasks?organizationId=544210</t>
  </si>
  <si>
    <t>ALCATEC PRODUTOS SINTETICOS LTDA</t>
  </si>
  <si>
    <t>https://beta.agendor.com.br/tasks?organizationId=40770842</t>
  </si>
  <si>
    <t>UNITRADING LOGISTICA</t>
  </si>
  <si>
    <t>https://beta.agendor.com.br/tasks?organizationId=45271256</t>
  </si>
  <si>
    <t>Luzarte Estrela Ltda</t>
  </si>
  <si>
    <t>https://beta.agendor.com.br/tasks?organizationId=39776774</t>
  </si>
  <si>
    <t>HEDRONS TEXTIL LTDA</t>
  </si>
  <si>
    <t>https://beta.agendor.com.br/tasks?organizationId=48018094</t>
  </si>
  <si>
    <t>LOTERIA JUPARANA LTDA</t>
  </si>
  <si>
    <t>https://beta.agendor.com.br/tasks?organizationId=51749932</t>
  </si>
  <si>
    <t>DO MESTRE , FORT SOLUTIONS &amp; BRAVIA</t>
  </si>
  <si>
    <t>https://beta.agendor.com.br/tasks?organizationId=48375518</t>
  </si>
  <si>
    <t>11/06/2026</t>
  </si>
  <si>
    <t>ENERGETICA SERRANOPOLIS LTDA</t>
  </si>
  <si>
    <t>https://beta.agendor.com.br/tasks?organizationId=46285746</t>
  </si>
  <si>
    <t>BOZZA COMERCIO E INDUSTRIA LTDA</t>
  </si>
  <si>
    <t>https://beta.agendor.com.br/tasks?organizationId=555249</t>
  </si>
  <si>
    <t>RODOTRIL TRANSPORTE DE CARGAS LTDA</t>
  </si>
  <si>
    <t>https://beta.agendor.com.br/tasks?organizationId=36354920</t>
  </si>
  <si>
    <t>VITALMED - SERVICOS DE EMERGENCIA MEDICA LTDA</t>
  </si>
  <si>
    <t>https://beta.agendor.com.br/tasks?organizationId=37177543</t>
  </si>
  <si>
    <t>SECONCI SAO PAULO</t>
  </si>
  <si>
    <t>https://beta.agendor.com.br/tasks?organizationId=545359</t>
  </si>
  <si>
    <t>DIAMANTE GERACAO DE ENERGIA LTDA.</t>
  </si>
  <si>
    <t>https://beta.agendor.com.br/tasks?organizationId=33135177</t>
  </si>
  <si>
    <t>DICEDEV DESENVOLVIMENTO LTDA</t>
  </si>
  <si>
    <t>https://beta.agendor.com.br/tasks?organizationId=51830814</t>
  </si>
  <si>
    <t>TEVERE INDUSTRIA E COMERCIO DE ACO LTDA</t>
  </si>
  <si>
    <t>https://beta.agendor.com.br/tasks?organizationId=46434389</t>
  </si>
  <si>
    <t>22 N / 2 F</t>
  </si>
  <si>
    <t>PREMIAÇÃO — ANA KAROLAYNE (Equipe Gabriel) — 21/05 → 19/06/2026</t>
  </si>
  <si>
    <t>TELHAS GUABIRUBA LTDA</t>
  </si>
  <si>
    <t>https://beta.agendor.com.br/tasks?organizationId=43970339</t>
  </si>
  <si>
    <t>SME - SOCIEDADE DE MONTAGENS E ENGENHARIA LTDA</t>
  </si>
  <si>
    <t>https://beta.agendor.com.br/tasks?organizationId=35840171</t>
  </si>
  <si>
    <t>MDB INDUSTRIA ALIMENTICIA LTDA.</t>
  </si>
  <si>
    <t>https://beta.agendor.com.br/tasks?organizationId=36040504</t>
  </si>
  <si>
    <t>VINHOS RANDON LTDA</t>
  </si>
  <si>
    <t>https://beta.agendor.com.br/tasks?organizationId=42503009</t>
  </si>
  <si>
    <t>HF INDUSTRIA E COMERCIO DE EQUIPAMENTOS LTDA</t>
  </si>
  <si>
    <t>https://beta.agendor.com.br/tasks?organizationId=42920403</t>
  </si>
  <si>
    <t>COOPER STANDARD AUTOMOTIVE</t>
  </si>
  <si>
    <t>https://beta.agendor.com.br/tasks?organizationId=549466</t>
  </si>
  <si>
    <t>C.PICOLLI INDUSTRIA DE CALCADOS</t>
  </si>
  <si>
    <t>https://beta.agendor.com.br/tasks?organizationId=39782832</t>
  </si>
  <si>
    <t>FRINENSE ALIMENTOS LTDA</t>
  </si>
  <si>
    <t>https://beta.agendor.com.br/tasks?organizationId=46130340</t>
  </si>
  <si>
    <t>CAIXA ASSISTENCIA</t>
  </si>
  <si>
    <t>https://beta.agendor.com.br/tasks?organizationId=24234802</t>
  </si>
  <si>
    <t>AGROCETE INDUSTRIA DE FERTILIZANTES LTDA</t>
  </si>
  <si>
    <t>https://beta.agendor.com.br/tasks?organizationId=22286165</t>
  </si>
  <si>
    <t>ORTOSINTESE INDUSTRIA E COMERCIO LTDA</t>
  </si>
  <si>
    <t>https://beta.agendor.com.br/tasks?organizationId=11543325</t>
  </si>
  <si>
    <t>CAL-COMP IND E COM ELETR E INFORM LTDA</t>
  </si>
  <si>
    <t>https://beta.agendor.com.br/tasks?organizationId=28627828</t>
  </si>
  <si>
    <t>LOG ENGENHARIA LTDA</t>
  </si>
  <si>
    <t>https://beta.agendor.com.br/tasks?organizationId=35840253</t>
  </si>
  <si>
    <t>ALFA EMPREENDIMENTOS E CONSTRUCOES LTDA</t>
  </si>
  <si>
    <t>https://beta.agendor.com.br/tasks?organizationId=40516928</t>
  </si>
  <si>
    <t>USICAMP IMPLEMENTOS PARA TRANSPORTES LTDA</t>
  </si>
  <si>
    <t>https://beta.agendor.com.br/tasks?organizationId=36763989</t>
  </si>
  <si>
    <t>MCLVALE INDUSTRIA E COMERCIO LTDA</t>
  </si>
  <si>
    <t>https://beta.agendor.com.br/tasks?organizationId=44695505</t>
  </si>
  <si>
    <t>LEV TERMOPLASTICOS LTDA</t>
  </si>
  <si>
    <t>https://beta.agendor.com.br/tasks?organizationId=37505334</t>
  </si>
  <si>
    <t>GIASSI CONSTRUTORA E INCORPORADORA LTDA</t>
  </si>
  <si>
    <t>https://beta.agendor.com.br/tasks?organizationId=36765533</t>
  </si>
  <si>
    <t>18 N / 1 F</t>
  </si>
  <si>
    <t>PREMIAÇÃO — IGOR (Equipe Gabriel) — 21/05 → 19/06/2026</t>
  </si>
  <si>
    <t>CRUSOE FOODS INDUSTRIA, IMPORTACAO E EXPORTACAO LTDA</t>
  </si>
  <si>
    <t>https://beta.agendor.com.br/tasks?organizationId=49934511</t>
  </si>
  <si>
    <t>TMSA  TECNOLOGIA EM MOVIMENTACAO S A</t>
  </si>
  <si>
    <t>https://beta.agendor.com.br/tasks?organizationId=552224</t>
  </si>
  <si>
    <t>Nortex Industria Comercio</t>
  </si>
  <si>
    <t>https://beta.agendor.com.br/tasks?organizationId=50982589</t>
  </si>
  <si>
    <t>Pramesa Alimentos</t>
  </si>
  <si>
    <t>https://beta.agendor.com.br/tasks?organizationId=28514219</t>
  </si>
  <si>
    <t>BALAROTI COMERCIO DE MATERIAIS DE CONSTRUCAO LTDA</t>
  </si>
  <si>
    <t>https://beta.agendor.com.br/tasks?organizationId=542826</t>
  </si>
  <si>
    <t>Infraway Engenharia</t>
  </si>
  <si>
    <t>https://beta.agendor.com.br/tasks?organizationId=22389267</t>
  </si>
  <si>
    <t>AMONEX DO BRASIL INDUSTRIA E COMERCIO LTDA</t>
  </si>
  <si>
    <t>https://beta.agendor.com.br/tasks?organizationId=545243</t>
  </si>
  <si>
    <t>GRUPO ABAINFRA</t>
  </si>
  <si>
    <t>https://beta.agendor.com.br/tasks?organizationId=32520681</t>
  </si>
  <si>
    <t>INDUSTRIA BAIANA DE COLCHOES E ESPUMAS LTDA</t>
  </si>
  <si>
    <t>https://beta.agendor.com.br/tasks?organizationId=50435402</t>
  </si>
  <si>
    <t>9 N / 0 F</t>
  </si>
  <si>
    <t>PREMIAÇÃO — LARISSA (Equipe Paola) — 21/05 → 19/06/2026</t>
  </si>
  <si>
    <t>TRIVIUM INDUSTRIAS</t>
  </si>
  <si>
    <t>https://beta.agendor.com.br/tasks?organizationId=40935334</t>
  </si>
  <si>
    <t>Danfer Indústria Metalúrgica</t>
  </si>
  <si>
    <t>https://beta.agendor.com.br/tasks?organizationId=13968055</t>
  </si>
  <si>
    <t>Embalavi Sul Distribuidora de Embalagens</t>
  </si>
  <si>
    <t>https://beta.agendor.com.br/tasks?organizationId=43717634</t>
  </si>
  <si>
    <t>TRANSPORTES BIANO LTDA</t>
  </si>
  <si>
    <t>https://beta.agendor.com.br/tasks?organizationId=36166825</t>
  </si>
  <si>
    <t>MATRIPOLO MOLDES E INJETADOS LTDA</t>
  </si>
  <si>
    <t>https://beta.agendor.com.br/tasks?organizationId=46309069</t>
  </si>
  <si>
    <t>FUNDICAO ALCA LTDA</t>
  </si>
  <si>
    <t>https://beta.agendor.com.br/tasks?organizationId=32834852</t>
  </si>
  <si>
    <t>PLAXMETAL INDUSTRIA DE CADEIRAS</t>
  </si>
  <si>
    <t>https://beta.agendor.com.br/tasks?organizationId=29264601</t>
  </si>
  <si>
    <t>VIDROFORTE INDUSTRIA E COMERCIO DE VIDROS LTDA</t>
  </si>
  <si>
    <t>https://beta.agendor.com.br/tasks?organizationId=14084090</t>
  </si>
  <si>
    <t>BISCOITOS ZEZÉ</t>
  </si>
  <si>
    <t>https://beta.agendor.com.br/tasks?organizationId=13575800</t>
  </si>
  <si>
    <t>Fockink Participações Ltda</t>
  </si>
  <si>
    <t>https://beta.agendor.com.br/tasks?organizationId=2737363</t>
  </si>
  <si>
    <t>G PANIZ INDUSTRIA DE EQUIPAMENTOS PARA ALIMENTACAO LTDA</t>
  </si>
  <si>
    <t>https://beta.agendor.com.br/tasks?organizationId=13466999</t>
  </si>
  <si>
    <t>11 N / 1 F</t>
  </si>
  <si>
    <t>PREMIAÇÃO — ANA BELLE (Equipe Paola) — 21/05 → 19/06/2026</t>
  </si>
  <si>
    <t>MTA INDUSTRIA E COMERCIO DE ARTEFATOS INOX</t>
  </si>
  <si>
    <t>https://beta.agendor.com.br/tasks?organizationId=50982272</t>
  </si>
  <si>
    <t>INNOVA</t>
  </si>
  <si>
    <t>https://beta.agendor.com.br/tasks?organizationId=37269453</t>
  </si>
  <si>
    <t>BrasPine &amp; Braslumber Madeira de Pinus</t>
  </si>
  <si>
    <t>https://beta.agendor.com.br/tasks?organizationId=19302559</t>
  </si>
  <si>
    <t>MOINHO SAO LUIZ LTDA</t>
  </si>
  <si>
    <t>https://beta.agendor.com.br/tasks?organizationId=39778455</t>
  </si>
  <si>
    <t>HUGO CINI SA INDUSTRIA DE BEBIDAS E CONEXOS</t>
  </si>
  <si>
    <t>https://beta.agendor.com.br/tasks?organizationId=32941492</t>
  </si>
  <si>
    <t>INTEGRADA COOPERATIVA AGROINDUSTRIAL</t>
  </si>
  <si>
    <t>https://beta.agendor.com.br/tasks?organizationId=550209</t>
  </si>
  <si>
    <t>LUCIANE INDUSTRIA MOVELEIRA LTDA</t>
  </si>
  <si>
    <t>https://beta.agendor.com.br/tasks?organizationId=46471275</t>
  </si>
  <si>
    <t>Chaperfil Indústria e Comércio Ltda.</t>
  </si>
  <si>
    <t>https://beta.agendor.com.br/tasks?organizationId=14671862</t>
  </si>
  <si>
    <t>Nitrobrás Indústria e Comércio de Fertilizantes Ltda</t>
  </si>
  <si>
    <t>https://beta.agendor.com.br/tasks?organizationId=28216697</t>
  </si>
  <si>
    <t>VOLLMENS FRAGRANCES LTDA</t>
  </si>
  <si>
    <t>https://beta.agendor.com.br/tasks?organizationId=19294843</t>
  </si>
  <si>
    <t>GRID COMERCIO DE LUBRIFICANTES</t>
  </si>
  <si>
    <t>https://beta.agendor.com.br/tasks?organizationId=39561770</t>
  </si>
  <si>
    <t>NINFA INDUSTRIA DE ALIMENTOS LTDA</t>
  </si>
  <si>
    <t>https://beta.agendor.com.br/tasks?organizationId=13575593</t>
  </si>
  <si>
    <t>METALURGICA BOSCH</t>
  </si>
  <si>
    <t>https://beta.agendor.com.br/tasks?organizationId=34084588</t>
  </si>
  <si>
    <t>FUNDACAO ARTHUR BERNARDES - FUNARBE</t>
  </si>
  <si>
    <t>https://beta.agendor.com.br/tasks?organizationId=37634243</t>
  </si>
  <si>
    <t>Maksiwa Industria Comercio</t>
  </si>
  <si>
    <t>https://beta.agendor.com.br/tasks?organizationId=50982275</t>
  </si>
  <si>
    <t>15 N / 1 F</t>
  </si>
  <si>
    <t>PREMIAÇÃO — LETICIA (Equipe Paola) — 21/05 → 19/06/2026</t>
  </si>
  <si>
    <t>SUPERMERCADO PIERIM LTDA</t>
  </si>
  <si>
    <t>https://beta.agendor.com.br/tasks?organizationId=50063932</t>
  </si>
  <si>
    <t>1 N / 0 F</t>
  </si>
  <si>
    <t>PREMIAÇÃO — ANA BEATRIZ (Equipe Paola) — 21/05 → 19/06/2026</t>
  </si>
  <si>
    <t>PHILOZON</t>
  </si>
  <si>
    <t>https://beta.agendor.com.br/tasks?organizationId=32770338</t>
  </si>
  <si>
    <t>CityCon Engenharia e Construção</t>
  </si>
  <si>
    <t>https://beta.agendor.com.br/tasks?organizationId=32116757</t>
  </si>
  <si>
    <t>PIT BULL JEANS INDUSTRIA</t>
  </si>
  <si>
    <t>https://beta.agendor.com.br/tasks?organizationId=12875475</t>
  </si>
  <si>
    <t>TRAMAR INDUSTRIAL LTDA</t>
  </si>
  <si>
    <t>https://beta.agendor.com.br/tasks?organizationId=32341627</t>
  </si>
  <si>
    <t>Approach Comunicação e Eventos Ltda</t>
  </si>
  <si>
    <t>https://beta.agendor.com.br/tasks?organizationId=2281429</t>
  </si>
  <si>
    <t>VALORA GESTAO DE INVESTIMENTOS LTDA</t>
  </si>
  <si>
    <t>https://beta.agendor.com.br/tasks?organizationId=554861</t>
  </si>
  <si>
    <t>PIETROBON &amp; CIA. LTDA.</t>
  </si>
  <si>
    <t>https://beta.agendor.com.br/tasks?organizationId=35215333</t>
  </si>
  <si>
    <t>GRUPO HAGANA</t>
  </si>
  <si>
    <t>https://beta.agendor.com.br/tasks?organizationId=546277</t>
  </si>
  <si>
    <t>O STUDIO A MODA E BELEZA LTDA</t>
  </si>
  <si>
    <t>https://beta.agendor.com.br/tasks?organizationId=52140256</t>
  </si>
  <si>
    <t>Supertec Equipamentos De Protecao Ltda</t>
  </si>
  <si>
    <t>https://beta.agendor.com.br/tasks?organizationId=40317937</t>
  </si>
  <si>
    <t>TRIADRH SOLUCOES EM GENTE &amp; GESTAO LTDA</t>
  </si>
  <si>
    <t>https://beta.agendor.com.br/tasks?organizationId=52155624</t>
  </si>
  <si>
    <t>DON SANTIAGO</t>
  </si>
  <si>
    <t>https://beta.agendor.com.br/tasks?organizationId=52279508</t>
  </si>
  <si>
    <t>KELLY CONSULTORIA</t>
  </si>
  <si>
    <t>https://beta.agendor.com.br/tasks?organizationId=52279439</t>
  </si>
  <si>
    <t>14 N / 3 F</t>
  </si>
  <si>
    <t>PREMIAÇÃO — LAWANNY (Equipe Paola) — 21/05 → 19/06/2026</t>
  </si>
  <si>
    <t>Panini Brasil</t>
  </si>
  <si>
    <t>https://beta.agendor.com.br/tasks?organizationId=15310470</t>
  </si>
  <si>
    <t>TASCO CLIMATECNICA LTDA</t>
  </si>
  <si>
    <t>https://beta.agendor.com.br/tasks?organizationId=49837623</t>
  </si>
  <si>
    <t>USINA BELA VISTA INDUSTRIA E COMERCIO DE ARGAMASSA LTDA.</t>
  </si>
  <si>
    <t>https://beta.agendor.com.br/tasks?organizationId=36797184</t>
  </si>
  <si>
    <t>CELTA BRASIL COMERCIO SERVICOS E INDUSTRIA LTDA</t>
  </si>
  <si>
    <t>https://beta.agendor.com.br/tasks?organizationId=50364187</t>
  </si>
  <si>
    <t>NOVA ERA COMERCIO E SERVICOS ESPECIALIZADOS LTDA</t>
  </si>
  <si>
    <t>https://beta.agendor.com.br/tasks?organizationId=38184109</t>
  </si>
  <si>
    <t>SABUGI LOGISTICA LTDA</t>
  </si>
  <si>
    <t>https://beta.agendor.com.br/tasks?organizationId=543420</t>
  </si>
  <si>
    <t>TRANSPORTES CAVALINHO LTDA</t>
  </si>
  <si>
    <t>https://beta.agendor.com.br/tasks?organizationId=553095</t>
  </si>
  <si>
    <t>PORTONAVE SA TERMINAIS PORTUARIOS DE NAVEGANTES</t>
  </si>
  <si>
    <t>https://beta.agendor.com.br/tasks?organizationId=549873</t>
  </si>
  <si>
    <t>CANTEIRO CONSTRUÇÕES RACIONALIZADAS LTDA.</t>
  </si>
  <si>
    <t>https://beta.agendor.com.br/tasks?organizationId=7735768</t>
  </si>
  <si>
    <t>Permetal</t>
  </si>
  <si>
    <t>https://beta.agendor.com.br/tasks?organizationId=531199</t>
  </si>
  <si>
    <t>11 N / 2 F</t>
  </si>
  <si>
    <t>PREMIAÇÃO — RAILANNE (Equipe Paola) — 21/05 → 19/06/2026</t>
  </si>
  <si>
    <t>TWILTEX INDUSTRIAS TEXTEIS S/A.</t>
  </si>
  <si>
    <t>https://beta.agendor.com.br/tasks?organizationId=47893389</t>
  </si>
  <si>
    <t>Dipa Galeto</t>
  </si>
  <si>
    <t>https://beta.agendor.com.br/tasks?organizationId=50982713</t>
  </si>
  <si>
    <t>DISBRAL ASFALTO</t>
  </si>
  <si>
    <t>https://beta.agendor.com.br/tasks?organizationId=44875656</t>
  </si>
  <si>
    <t>MAXBELT INDUSTRIA E COMERCIO LTDA.</t>
  </si>
  <si>
    <t>https://beta.agendor.com.br/tasks?organizationId=32210310</t>
  </si>
  <si>
    <t>CIRANDA CULTURAL EDITORA E DISTRIBUIDORA LTDA</t>
  </si>
  <si>
    <t>https://beta.agendor.com.br/tasks?organizationId=43539611</t>
  </si>
  <si>
    <t>ACOMAC MS INDUSTRIA E COMERCIO DE ACO LTDA</t>
  </si>
  <si>
    <t>https://beta.agendor.com.br/tasks?organizationId=39776740</t>
  </si>
  <si>
    <t>ALPER ENERGIA LTDA.</t>
  </si>
  <si>
    <t>https://beta.agendor.com.br/tasks?organizationId=36034204</t>
  </si>
  <si>
    <t>7 N / 0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</si>
</sst>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"/>
  </numFmts>
  <fonts count="16" x14ac:knownFonts="1">
    <font>
      <color theme="1"/>
      <family val="2"/>
      <scheme val="minor"/>
      <sz val="11"/>
      <name val="Calibri"/>
    </font>
    <font>
      <b/>
      <color rgb="FFFFFFFF"/>
      <sz val="14"/>
      <name val="Arial Narrow"/>
    </font>
    <font>
      <b/>
      <color rgb="FFFFFFFF"/>
      <sz val="10"/>
      <name val="Arial Narrow"/>
    </font>
    <font>
      <name val="Arial Narrow"/>
    </font>
    <font>
      <b/>
    </font>
    <font>
      <b/>
      <name val="Arial Narrow"/>
    </font>
    <font>
      <i/>
      <name val="Arial Narrow"/>
    </font>
    <font>
      <b/>
      <sz val="12"/>
      <name val="Arial Narrow"/>
    </font>
    <font>
      <b/>
      <sz val="12"/>
    </font>
    <font>
      <b/>
      <color rgb="FFFFFFFF"/>
      <sz val="12"/>
      <name val="Arial Narrow"/>
    </font>
    <font>
      <b/>
      <color rgb="FF2E6B30"/>
      <sz val="9"/>
    </font>
    <font>
      <b/>
      <color rgb="FF7A6000"/>
      <sz val="9"/>
    </font>
    <font>
      <b/>
      <color rgb="FF8B3A00"/>
      <sz val="9"/>
    </font>
    <font>
      <b/>
      <sz val="11"/>
      <name val="Arial Narrow"/>
    </font>
    <font>
      <b/>
      <color rgb="FFFFFFFF"/>
      <sz val="11"/>
      <name val="Arial Narrow"/>
    </font>
    <font>
      <i/>
      <color rgb="FF555555"/>
      <sz val="9"/>
    </font>
  </fonts>
  <fills count="10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4A7A"/>
      </patternFill>
    </fill>
    <fill>
      <patternFill patternType="solid">
        <fgColor rgb="FF1A4A2E"/>
      </patternFill>
    </fill>
    <fill>
      <patternFill patternType="solid">
        <fgColor rgb="FFD6EBCD"/>
      </patternFill>
    </fill>
    <fill>
      <patternFill patternType="solid">
        <fgColor rgb="FFFFF0CC"/>
      </patternFill>
    </fill>
    <fill>
      <patternFill patternType="solid">
        <fgColor rgb="FFFFD9B3"/>
      </patternFill>
    </fill>
    <fill>
      <patternFill patternType="solid">
        <fgColor rgb="FFD6E4F7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right"/>
    </xf>
    <xf numFmtId="0" fontId="5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/>
    <xf numFmtId="164" fontId="8" fillId="0" borderId="0" xfId="0" applyNumberFormat="1" applyFont="1" applyAlignment="1">
      <alignment horizontal="right"/>
    </xf>
    <xf numFmtId="0" fontId="9" fillId="4" borderId="0" xfId="0" applyFont="1" applyFill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2" fillId="4" borderId="0" xfId="0" applyFont="1" applyFill="1"/>
    <xf numFmtId="0" fontId="2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164" fontId="0" fillId="5" borderId="1" xfId="0" applyNumberFormat="1" applyFill="1" applyBorder="1" applyAlignment="1">
      <alignment horizontal="righ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164" fontId="0" fillId="6" borderId="1" xfId="0" applyNumberFormat="1" applyFill="1" applyBorder="1" applyAlignment="1">
      <alignment horizontal="righ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164" fontId="0" fillId="7" borderId="1" xfId="0" applyNumberFormat="1" applyFill="1" applyBorder="1" applyAlignment="1">
      <alignment horizontal="right" vertical="center"/>
    </xf>
    <xf numFmtId="164" fontId="5" fillId="0" borderId="0" xfId="0" applyNumberFormat="1" applyFont="1" applyAlignment="1">
      <alignment horizontal="right"/>
    </xf>
    <xf numFmtId="0" fontId="13" fillId="0" borderId="0" xfId="0" applyFont="1"/>
    <xf numFmtId="164" fontId="13" fillId="0" borderId="0" xfId="0" applyNumberFormat="1" applyFont="1" applyAlignment="1">
      <alignment horizontal="right"/>
    </xf>
    <xf numFmtId="0" fontId="14" fillId="2" borderId="0" xfId="0" applyFont="1" applyFill="1" applyAlignment="1">
      <alignment horizontal="center" vertical="center"/>
    </xf>
    <xf numFmtId="0" fontId="15" fillId="0" borderId="0" xfId="0" applyFont="1"/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right" vertic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right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3"/>
  <sheetFormatPr defaultRowHeight="15" outlineLevelRow="0" outlineLevelCol="0" x14ac:dyDescent="55"/>
  <cols>
    <col min="1" max="1" width="3" customWidth="1"/>
    <col min="2" max="2" width="25" customWidth="1"/>
    <col min="3" max="4" width="8" customWidth="1"/>
    <col min="5" max="5" width="14" customWidth="1"/>
    <col min="6" max="6" width="18" customWidth="1"/>
    <col min="7" max="8" width="13" customWidth="1"/>
    <col min="9" max="9" width="20" customWidth="1"/>
    <col min="10" max="10" width="16" customWidth="1"/>
  </cols>
  <sheetData>
    <row r="2" ht="36" customHeight="1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4" ht="18" customHeight="1" spans="1:10" x14ac:dyDescent="0.25">
      <c r="A4" t="s">
        <v>1</v>
      </c>
      <c r="B4" s="2" t="s">
        <v>2</v>
      </c>
      <c r="C4" s="2"/>
      <c r="D4" s="2"/>
      <c r="E4" s="2"/>
      <c r="F4" s="2"/>
      <c r="G4" s="2"/>
      <c r="H4" s="2"/>
      <c r="I4" s="2"/>
      <c r="J4" s="2"/>
    </row>
    <row r="5" ht="22" customHeight="1" spans="1:10" x14ac:dyDescent="0.25">
      <c r="A5" s="3" t="s">
        <v>1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</row>
    <row r="6" ht="18" customHeight="1" spans="1:10" x14ac:dyDescent="0.25">
      <c r="A6" t="s">
        <v>1</v>
      </c>
      <c r="B6" s="4" t="s">
        <v>12</v>
      </c>
      <c r="C6">
        <v>14</v>
      </c>
      <c r="D6">
        <v>2</v>
      </c>
      <c r="E6">
        <v>16</v>
      </c>
      <c r="F6" s="5">
        <v>115</v>
      </c>
      <c r="G6" s="6">
        <v>12</v>
      </c>
      <c r="H6" s="5" t="s">
        <v>13</v>
      </c>
      <c r="I6" s="5">
        <v>1710</v>
      </c>
      <c r="J6" s="7">
        <v>1825</v>
      </c>
    </row>
    <row r="7" ht="18" customHeight="1" spans="1:10" x14ac:dyDescent="0.25">
      <c r="A7" t="s">
        <v>1</v>
      </c>
      <c r="B7" s="4" t="s">
        <v>14</v>
      </c>
      <c r="C7">
        <v>27</v>
      </c>
      <c r="D7">
        <v>8</v>
      </c>
      <c r="E7">
        <v>35</v>
      </c>
      <c r="F7" s="5">
        <v>242.5</v>
      </c>
      <c r="G7" s="6">
        <v>2</v>
      </c>
      <c r="H7" s="5" t="s">
        <v>13</v>
      </c>
      <c r="I7" s="5">
        <v>240</v>
      </c>
      <c r="J7" s="7">
        <v>482.5</v>
      </c>
    </row>
    <row r="8" ht="18" customHeight="1" spans="1:10" x14ac:dyDescent="0.25">
      <c r="A8" t="s">
        <v>1</v>
      </c>
      <c r="B8" s="4" t="s">
        <v>15</v>
      </c>
      <c r="C8">
        <v>22</v>
      </c>
      <c r="D8">
        <v>2</v>
      </c>
      <c r="E8">
        <v>24</v>
      </c>
      <c r="F8" s="5">
        <v>175</v>
      </c>
      <c r="G8" s="6">
        <v>2</v>
      </c>
      <c r="H8" s="5" t="s">
        <v>13</v>
      </c>
      <c r="I8" s="5">
        <v>240</v>
      </c>
      <c r="J8" s="7">
        <v>415</v>
      </c>
    </row>
    <row r="9" ht="18" customHeight="1" spans="1:10" x14ac:dyDescent="0.25">
      <c r="A9" t="s">
        <v>1</v>
      </c>
      <c r="B9" s="4" t="s">
        <v>16</v>
      </c>
      <c r="C9">
        <v>18</v>
      </c>
      <c r="D9">
        <v>1</v>
      </c>
      <c r="E9">
        <v>19</v>
      </c>
      <c r="F9" s="5">
        <v>140</v>
      </c>
      <c r="G9" s="6">
        <v>0</v>
      </c>
      <c r="H9" s="5" t="s">
        <v>13</v>
      </c>
      <c r="I9" s="5">
        <v>0</v>
      </c>
      <c r="J9" s="7">
        <v>140</v>
      </c>
    </row>
    <row r="10" ht="18" customHeight="1" spans="1:10" x14ac:dyDescent="0.25">
      <c r="A10" t="s">
        <v>1</v>
      </c>
      <c r="B10" s="4" t="s">
        <v>17</v>
      </c>
      <c r="C10">
        <v>9</v>
      </c>
      <c r="D10">
        <v>0</v>
      </c>
      <c r="E10">
        <v>9</v>
      </c>
      <c r="F10" s="5">
        <v>67.5</v>
      </c>
      <c r="G10" s="6">
        <v>0</v>
      </c>
      <c r="H10" s="5" t="s">
        <v>13</v>
      </c>
      <c r="I10" s="5">
        <v>0</v>
      </c>
      <c r="J10" s="7">
        <v>67.5</v>
      </c>
    </row>
    <row r="11" ht="18" customHeight="1" spans="1:10" x14ac:dyDescent="0.25">
      <c r="A11" t="s">
        <v>1</v>
      </c>
      <c r="B11" s="8" t="s">
        <v>18</v>
      </c>
      <c r="C11" t="s">
        <v>1</v>
      </c>
      <c r="D11" t="s">
        <v>1</v>
      </c>
      <c r="E11" t="s">
        <v>1</v>
      </c>
      <c r="F11" s="7">
        <v>740</v>
      </c>
      <c r="G11">
        <v>16</v>
      </c>
      <c r="H11" t="s">
        <v>1</v>
      </c>
      <c r="I11" s="7">
        <v>2190</v>
      </c>
      <c r="J11" s="7">
        <v>2930</v>
      </c>
    </row>
    <row r="13" ht="18" customHeight="1" spans="1:10" x14ac:dyDescent="0.25">
      <c r="A13" t="s">
        <v>1</v>
      </c>
      <c r="B13" s="9" t="s">
        <v>19</v>
      </c>
      <c r="C13" s="9"/>
      <c r="D13" s="9"/>
      <c r="E13" s="9"/>
      <c r="F13" s="9"/>
      <c r="G13" s="9"/>
      <c r="H13" s="9"/>
      <c r="I13" s="9"/>
      <c r="J13" s="9"/>
    </row>
    <row r="14" ht="22" customHeight="1" spans="1:10" x14ac:dyDescent="0.25">
      <c r="A14" s="10" t="s">
        <v>1</v>
      </c>
      <c r="B14" s="10" t="s">
        <v>3</v>
      </c>
      <c r="C14" s="10" t="s">
        <v>4</v>
      </c>
      <c r="D14" s="10" t="s">
        <v>5</v>
      </c>
      <c r="E14" s="10" t="s">
        <v>6</v>
      </c>
      <c r="F14" s="10" t="s">
        <v>7</v>
      </c>
      <c r="G14" s="10" t="s">
        <v>8</v>
      </c>
      <c r="H14" s="10" t="s">
        <v>9</v>
      </c>
      <c r="I14" s="10" t="s">
        <v>10</v>
      </c>
      <c r="J14" s="10" t="s">
        <v>11</v>
      </c>
    </row>
    <row r="15" ht="18" customHeight="1" spans="1:10" x14ac:dyDescent="0.25">
      <c r="A15" t="s">
        <v>1</v>
      </c>
      <c r="B15" s="4" t="s">
        <v>20</v>
      </c>
      <c r="C15">
        <v>11</v>
      </c>
      <c r="D15">
        <v>1</v>
      </c>
      <c r="E15">
        <v>12</v>
      </c>
      <c r="F15" s="5">
        <v>87.5</v>
      </c>
      <c r="G15" s="6">
        <v>0</v>
      </c>
      <c r="H15" s="5" t="s">
        <v>13</v>
      </c>
      <c r="I15" s="5">
        <v>0</v>
      </c>
      <c r="J15" s="7">
        <v>87.5</v>
      </c>
    </row>
    <row r="16" ht="18" customHeight="1" spans="1:10" x14ac:dyDescent="0.25">
      <c r="A16" t="s">
        <v>1</v>
      </c>
      <c r="B16" s="4" t="s">
        <v>21</v>
      </c>
      <c r="C16">
        <v>15</v>
      </c>
      <c r="D16">
        <v>1</v>
      </c>
      <c r="E16">
        <v>16</v>
      </c>
      <c r="F16" s="5">
        <v>117.5</v>
      </c>
      <c r="G16" s="6">
        <v>0</v>
      </c>
      <c r="H16" s="5" t="s">
        <v>13</v>
      </c>
      <c r="I16" s="5">
        <v>0</v>
      </c>
      <c r="J16" s="7">
        <v>117.5</v>
      </c>
    </row>
    <row r="17" ht="18" customHeight="1" spans="1:10" x14ac:dyDescent="0.25">
      <c r="A17" t="s">
        <v>1</v>
      </c>
      <c r="B17" s="4" t="s">
        <v>22</v>
      </c>
      <c r="C17">
        <v>1</v>
      </c>
      <c r="D17">
        <v>0</v>
      </c>
      <c r="E17">
        <v>1</v>
      </c>
      <c r="F17" s="5">
        <v>7.5</v>
      </c>
      <c r="G17" s="6">
        <v>0</v>
      </c>
      <c r="H17" s="5" t="s">
        <v>13</v>
      </c>
      <c r="I17" s="5">
        <v>0</v>
      </c>
      <c r="J17" s="7">
        <v>7.5</v>
      </c>
    </row>
    <row r="18" ht="18" customHeight="1" spans="1:10" x14ac:dyDescent="0.25">
      <c r="A18" t="s">
        <v>1</v>
      </c>
      <c r="B18" s="4" t="s">
        <v>23</v>
      </c>
      <c r="C18">
        <v>14</v>
      </c>
      <c r="D18">
        <v>3</v>
      </c>
      <c r="E18">
        <v>17</v>
      </c>
      <c r="F18" s="5">
        <v>120</v>
      </c>
      <c r="G18" s="6">
        <v>5</v>
      </c>
      <c r="H18" s="5" t="s">
        <v>13</v>
      </c>
      <c r="I18" s="5">
        <v>600</v>
      </c>
      <c r="J18" s="7">
        <v>720</v>
      </c>
    </row>
    <row r="19" ht="18" customHeight="1" spans="1:10" x14ac:dyDescent="0.25">
      <c r="A19" t="s">
        <v>1</v>
      </c>
      <c r="B19" s="4" t="s">
        <v>24</v>
      </c>
      <c r="C19">
        <v>11</v>
      </c>
      <c r="D19">
        <v>2</v>
      </c>
      <c r="E19">
        <v>13</v>
      </c>
      <c r="F19" s="5">
        <v>92.5</v>
      </c>
      <c r="G19" s="6">
        <v>3</v>
      </c>
      <c r="H19" s="5" t="s">
        <v>13</v>
      </c>
      <c r="I19" s="5">
        <v>360</v>
      </c>
      <c r="J19" s="7">
        <v>452.5</v>
      </c>
    </row>
    <row r="20" ht="18" customHeight="1" spans="1:10" x14ac:dyDescent="0.25">
      <c r="A20" t="s">
        <v>1</v>
      </c>
      <c r="B20" s="4" t="s">
        <v>25</v>
      </c>
      <c r="C20">
        <v>7</v>
      </c>
      <c r="D20">
        <v>0</v>
      </c>
      <c r="E20">
        <v>7</v>
      </c>
      <c r="F20" s="5">
        <v>52.5</v>
      </c>
      <c r="G20" s="6">
        <v>0</v>
      </c>
      <c r="H20" s="5" t="s">
        <v>13</v>
      </c>
      <c r="I20" s="5">
        <v>0</v>
      </c>
      <c r="J20" s="7">
        <v>52.5</v>
      </c>
    </row>
    <row r="21" ht="18" customHeight="1" spans="1:10" x14ac:dyDescent="0.25">
      <c r="A21" t="s">
        <v>1</v>
      </c>
      <c r="B21" s="8" t="s">
        <v>26</v>
      </c>
      <c r="C21" t="s">
        <v>1</v>
      </c>
      <c r="D21" t="s">
        <v>1</v>
      </c>
      <c r="E21" t="s">
        <v>1</v>
      </c>
      <c r="F21" s="7">
        <v>477.5</v>
      </c>
      <c r="G21">
        <v>8</v>
      </c>
      <c r="H21" t="s">
        <v>1</v>
      </c>
      <c r="I21" s="7">
        <v>960</v>
      </c>
      <c r="J21" s="7">
        <v>1437.5</v>
      </c>
    </row>
    <row r="23" spans="1:10" x14ac:dyDescent="0.25">
      <c r="A23" t="s">
        <v>1</v>
      </c>
      <c r="B23" s="11" t="s">
        <v>27</v>
      </c>
      <c r="C23" t="s">
        <v>1</v>
      </c>
      <c r="D23" t="s">
        <v>1</v>
      </c>
      <c r="E23" t="s">
        <v>1</v>
      </c>
      <c r="F23" s="5">
        <v>0</v>
      </c>
      <c r="G23" s="6">
        <v>2</v>
      </c>
      <c r="H23" s="5" t="s">
        <v>13</v>
      </c>
      <c r="I23" s="5">
        <v>240</v>
      </c>
      <c r="J23" s="5">
        <v>240</v>
      </c>
    </row>
    <row r="25" ht="24" customHeight="1" spans="1:10" x14ac:dyDescent="0.25">
      <c r="A25" t="s">
        <v>1</v>
      </c>
      <c r="B25" s="12" t="s">
        <v>11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s="13">
        <v>4607.5</v>
      </c>
    </row>
    <row r="28" spans="1:2" x14ac:dyDescent="0.25">
      <c r="A28" t="s">
        <v>1</v>
      </c>
      <c r="B28" s="8" t="s">
        <v>28</v>
      </c>
    </row>
    <row r="29" spans="1:6" x14ac:dyDescent="0.25">
      <c r="A29" t="s">
        <v>1</v>
      </c>
      <c r="B29" t="s">
        <v>29</v>
      </c>
      <c r="C29" t="s">
        <v>1</v>
      </c>
      <c r="D29" t="s">
        <v>1</v>
      </c>
      <c r="E29" t="s">
        <v>1</v>
      </c>
      <c r="F29" t="s">
        <v>30</v>
      </c>
    </row>
    <row r="30" spans="1:6" x14ac:dyDescent="0.25">
      <c r="A30" t="s">
        <v>1</v>
      </c>
      <c r="B30" t="s">
        <v>31</v>
      </c>
      <c r="C30" t="s">
        <v>1</v>
      </c>
      <c r="D30" t="s">
        <v>1</v>
      </c>
      <c r="E30" t="s">
        <v>1</v>
      </c>
      <c r="F30" t="s">
        <v>32</v>
      </c>
    </row>
    <row r="31" spans="1:6" x14ac:dyDescent="0.25">
      <c r="A31" t="s">
        <v>1</v>
      </c>
      <c r="B31" t="s">
        <v>33</v>
      </c>
      <c r="C31" t="s">
        <v>1</v>
      </c>
      <c r="D31" t="s">
        <v>1</v>
      </c>
      <c r="E31" t="s">
        <v>1</v>
      </c>
      <c r="F31" t="s">
        <v>34</v>
      </c>
    </row>
    <row r="32" spans="1:6" x14ac:dyDescent="0.25">
      <c r="A32" t="s">
        <v>1</v>
      </c>
      <c r="B32" t="s">
        <v>35</v>
      </c>
      <c r="C32" t="s">
        <v>1</v>
      </c>
      <c r="D32" t="s">
        <v>1</v>
      </c>
      <c r="E32" t="s">
        <v>1</v>
      </c>
      <c r="F32" t="s">
        <v>36</v>
      </c>
    </row>
    <row r="33" spans="1:6" x14ac:dyDescent="0.25">
      <c r="A33" t="s">
        <v>1</v>
      </c>
      <c r="B33" t="s">
        <v>37</v>
      </c>
      <c r="C33" t="s">
        <v>1</v>
      </c>
      <c r="D33" t="s">
        <v>1</v>
      </c>
      <c r="E33" t="s">
        <v>1</v>
      </c>
      <c r="F33" t="s">
        <v>38</v>
      </c>
    </row>
  </sheetData>
  <mergeCells count="3">
    <mergeCell ref="B2:J2"/>
    <mergeCell ref="B4:J4"/>
    <mergeCell ref="B13:J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FormatPr defaultRowHeight="15" outlineLevelRow="0" outlineLevelCol="0" x14ac:dyDescent="55"/>
  <cols>
    <col min="1" max="1" width="14" customWidth="1"/>
    <col min="2" max="2" width="40" customWidth="1"/>
    <col min="3" max="3" width="28" customWidth="1"/>
    <col min="4" max="4" width="14" customWidth="1"/>
    <col min="5" max="5" width="50" customWidth="1"/>
  </cols>
  <sheetData>
    <row r="1" ht="28" customHeight="1" spans="1:5" x14ac:dyDescent="0.25">
      <c r="A1" s="14" t="s">
        <v>39</v>
      </c>
      <c r="B1" s="14"/>
      <c r="C1" s="14"/>
      <c r="D1" s="14"/>
      <c r="E1" s="14"/>
    </row>
    <row r="3" ht="14" customHeight="1" spans="1:3" x14ac:dyDescent="0.25">
      <c r="A3" s="15" t="s">
        <v>40</v>
      </c>
      <c r="B3" s="16" t="s">
        <v>41</v>
      </c>
      <c r="C3" s="17" t="s">
        <v>42</v>
      </c>
    </row>
    <row r="5" ht="18" customHeight="1" spans="1:5" x14ac:dyDescent="0.25">
      <c r="A5" s="18" t="s">
        <v>43</v>
      </c>
      <c r="B5" s="18"/>
      <c r="C5" s="18"/>
      <c r="D5" s="18"/>
      <c r="E5" s="18"/>
    </row>
    <row r="6" ht="22" customHeight="1" spans="1:5" x14ac:dyDescent="0.25">
      <c r="A6" s="19" t="s">
        <v>44</v>
      </c>
      <c r="B6" s="19" t="s">
        <v>45</v>
      </c>
      <c r="C6" s="19" t="s">
        <v>46</v>
      </c>
      <c r="D6" s="19" t="s">
        <v>47</v>
      </c>
      <c r="E6" s="19" t="s">
        <v>48</v>
      </c>
    </row>
    <row r="7" ht="18" customHeight="1" spans="1:5" x14ac:dyDescent="0.25">
      <c r="A7" s="20" t="s">
        <v>49</v>
      </c>
      <c r="B7" s="21" t="s">
        <v>50</v>
      </c>
      <c r="C7" s="21" t="s">
        <v>51</v>
      </c>
      <c r="D7" s="22">
        <f>=IF(ROW()-7+1&lt;=5,120,IF(ROW()-7+1&lt;=10,150,180))</f>
        <v>120</v>
      </c>
      <c r="E7" s="21" t="s">
        <v>52</v>
      </c>
    </row>
    <row r="8" ht="18" customHeight="1" spans="1:5" x14ac:dyDescent="0.25">
      <c r="A8" s="20" t="s">
        <v>53</v>
      </c>
      <c r="B8" s="21" t="s">
        <v>54</v>
      </c>
      <c r="C8" s="21" t="s">
        <v>51</v>
      </c>
      <c r="D8" s="22">
        <f>=IF(ROW()-7+1&lt;=5,120,IF(ROW()-7+1&lt;=10,150,180))</f>
        <v>120</v>
      </c>
      <c r="E8" s="21" t="s">
        <v>55</v>
      </c>
    </row>
    <row r="9" ht="18" customHeight="1" spans="1:5" x14ac:dyDescent="0.25">
      <c r="A9" s="20" t="s">
        <v>56</v>
      </c>
      <c r="B9" s="21" t="s">
        <v>57</v>
      </c>
      <c r="C9" s="21" t="s">
        <v>51</v>
      </c>
      <c r="D9" s="22">
        <f>=IF(ROW()-7+1&lt;=5,120,IF(ROW()-7+1&lt;=10,150,180))</f>
        <v>120</v>
      </c>
      <c r="E9" s="21" t="s">
        <v>58</v>
      </c>
    </row>
    <row r="10" ht="18" customHeight="1" spans="1:5" x14ac:dyDescent="0.25">
      <c r="A10" s="20" t="s">
        <v>59</v>
      </c>
      <c r="B10" s="21" t="s">
        <v>60</v>
      </c>
      <c r="C10" s="21" t="s">
        <v>61</v>
      </c>
      <c r="D10" s="22">
        <f>=IF(ROW()-7+1&lt;=5,120,IF(ROW()-7+1&lt;=10,150,180))</f>
        <v>120</v>
      </c>
      <c r="E10" s="21" t="s">
        <v>62</v>
      </c>
    </row>
    <row r="11" ht="18" customHeight="1" spans="1:5" x14ac:dyDescent="0.25">
      <c r="A11" s="20" t="s">
        <v>59</v>
      </c>
      <c r="B11" s="21" t="s">
        <v>63</v>
      </c>
      <c r="C11" s="21" t="s">
        <v>64</v>
      </c>
      <c r="D11" s="22">
        <f>=IF(ROW()-7+1&lt;=5,120,IF(ROW()-7+1&lt;=10,150,180))</f>
        <v>120</v>
      </c>
      <c r="E11" s="21" t="s">
        <v>65</v>
      </c>
    </row>
    <row r="12" ht="18" customHeight="1" spans="1:5" x14ac:dyDescent="0.25">
      <c r="A12" s="23" t="s">
        <v>66</v>
      </c>
      <c r="B12" s="24" t="s">
        <v>67</v>
      </c>
      <c r="C12" s="24" t="s">
        <v>68</v>
      </c>
      <c r="D12" s="25">
        <f>=IF(ROW()-7+1&lt;=5,120,IF(ROW()-7+1&lt;=10,150,180))</f>
        <v>150</v>
      </c>
      <c r="E12" s="24" t="s">
        <v>69</v>
      </c>
    </row>
    <row r="13" ht="18" customHeight="1" spans="1:5" x14ac:dyDescent="0.25">
      <c r="A13" s="23" t="s">
        <v>70</v>
      </c>
      <c r="B13" s="24" t="s">
        <v>1</v>
      </c>
      <c r="C13" s="24" t="s">
        <v>1</v>
      </c>
      <c r="D13" s="25">
        <f>=IF(ROW()-7+1&lt;=5,120,IF(ROW()-7+1&lt;=10,150,180))</f>
        <v>150</v>
      </c>
      <c r="E13" s="24" t="s">
        <v>1</v>
      </c>
    </row>
    <row r="14" ht="18" customHeight="1" spans="1:5" x14ac:dyDescent="0.25">
      <c r="A14" s="23" t="s">
        <v>71</v>
      </c>
      <c r="B14" s="24" t="s">
        <v>72</v>
      </c>
      <c r="C14" s="24" t="s">
        <v>73</v>
      </c>
      <c r="D14" s="25">
        <f>=IF(ROW()-7+1&lt;=5,120,IF(ROW()-7+1&lt;=10,150,180))</f>
        <v>150</v>
      </c>
      <c r="E14" s="24" t="s">
        <v>74</v>
      </c>
    </row>
    <row r="15" ht="18" customHeight="1" spans="1:5" x14ac:dyDescent="0.25">
      <c r="A15" s="23" t="s">
        <v>75</v>
      </c>
      <c r="B15" s="24" t="s">
        <v>76</v>
      </c>
      <c r="C15" s="24" t="s">
        <v>77</v>
      </c>
      <c r="D15" s="25">
        <f>=IF(ROW()-7+1&lt;=5,120,IF(ROW()-7+1&lt;=10,150,180))</f>
        <v>150</v>
      </c>
      <c r="E15" s="24" t="s">
        <v>78</v>
      </c>
    </row>
    <row r="16" ht="18" customHeight="1" spans="1:5" x14ac:dyDescent="0.25">
      <c r="A16" s="23" t="s">
        <v>75</v>
      </c>
      <c r="B16" s="24" t="s">
        <v>76</v>
      </c>
      <c r="C16" s="24" t="s">
        <v>79</v>
      </c>
      <c r="D16" s="25">
        <f>=IF(ROW()-7+1&lt;=5,120,IF(ROW()-7+1&lt;=10,150,180))</f>
        <v>150</v>
      </c>
      <c r="E16" s="24" t="s">
        <v>78</v>
      </c>
    </row>
    <row r="17" ht="18" customHeight="1" spans="1:5" x14ac:dyDescent="0.25">
      <c r="A17" s="26" t="s">
        <v>80</v>
      </c>
      <c r="B17" s="27" t="s">
        <v>81</v>
      </c>
      <c r="C17" s="27" t="s">
        <v>82</v>
      </c>
      <c r="D17" s="28">
        <f>=IF(ROW()-7+1&lt;=5,120,IF(ROW()-7+1&lt;=10,150,180))</f>
        <v>180</v>
      </c>
      <c r="E17" s="27" t="s">
        <v>83</v>
      </c>
    </row>
    <row r="18" ht="18" customHeight="1" spans="1:5" x14ac:dyDescent="0.25">
      <c r="A18" s="26" t="s">
        <v>84</v>
      </c>
      <c r="B18" s="27" t="s">
        <v>85</v>
      </c>
      <c r="C18" s="27" t="s">
        <v>86</v>
      </c>
      <c r="D18" s="28">
        <f>=IF(ROW()-7+1&lt;=5,120,IF(ROW()-7+1&lt;=10,150,180))</f>
        <v>180</v>
      </c>
      <c r="E18" s="27" t="s">
        <v>87</v>
      </c>
    </row>
    <row r="19" ht="18" customHeight="1" spans="1:5" x14ac:dyDescent="0.25">
      <c r="A19" t="s">
        <v>1</v>
      </c>
      <c r="B19" s="8" t="s">
        <v>88</v>
      </c>
      <c r="C19" t="s">
        <v>1</v>
      </c>
      <c r="D19" s="29">
        <f>=SUM(D7:D18)</f>
        <v>1710</v>
      </c>
      <c r="E19" t="s">
        <v>1</v>
      </c>
    </row>
    <row r="21" ht="18" customHeight="1" spans="1:5" x14ac:dyDescent="0.25">
      <c r="A21" s="18" t="s">
        <v>89</v>
      </c>
      <c r="B21" s="18"/>
      <c r="C21" s="18"/>
      <c r="D21" s="18"/>
      <c r="E21" s="18"/>
    </row>
    <row r="22" ht="22" customHeight="1" spans="1:5" x14ac:dyDescent="0.25">
      <c r="A22" s="19" t="s">
        <v>44</v>
      </c>
      <c r="B22" s="19" t="s">
        <v>45</v>
      </c>
      <c r="C22" s="19" t="s">
        <v>46</v>
      </c>
      <c r="D22" s="19" t="s">
        <v>47</v>
      </c>
      <c r="E22" s="19" t="s">
        <v>48</v>
      </c>
    </row>
    <row r="23" ht="18" customHeight="1" spans="1:5" x14ac:dyDescent="0.25">
      <c r="A23" s="20" t="s">
        <v>90</v>
      </c>
      <c r="B23" s="21" t="s">
        <v>91</v>
      </c>
      <c r="C23" s="21" t="s">
        <v>92</v>
      </c>
      <c r="D23" s="22">
        <f>=IF(ROW()-23+1&lt;=5,120,IF(ROW()-23+1&lt;=10,150,180))</f>
        <v>120</v>
      </c>
      <c r="E23" s="21" t="s">
        <v>93</v>
      </c>
    </row>
    <row r="24" ht="18" customHeight="1" spans="1:5" x14ac:dyDescent="0.25">
      <c r="A24" s="20" t="s">
        <v>56</v>
      </c>
      <c r="B24" s="21" t="s">
        <v>94</v>
      </c>
      <c r="C24" s="21" t="s">
        <v>95</v>
      </c>
      <c r="D24" s="22">
        <f>=IF(ROW()-23+1&lt;=5,120,IF(ROW()-23+1&lt;=10,150,180))</f>
        <v>120</v>
      </c>
      <c r="E24" s="21" t="s">
        <v>96</v>
      </c>
    </row>
    <row r="25" ht="18" customHeight="1" spans="1:5" x14ac:dyDescent="0.25">
      <c r="A25" t="s">
        <v>1</v>
      </c>
      <c r="B25" s="8" t="s">
        <v>97</v>
      </c>
      <c r="C25" t="s">
        <v>1</v>
      </c>
      <c r="D25" s="29">
        <f>=SUM(D23:D24)</f>
        <v>240</v>
      </c>
      <c r="E25" t="s">
        <v>1</v>
      </c>
    </row>
    <row r="27" ht="18" customHeight="1" spans="1:5" x14ac:dyDescent="0.25">
      <c r="A27" s="18" t="s">
        <v>98</v>
      </c>
      <c r="B27" s="18"/>
      <c r="C27" s="18"/>
      <c r="D27" s="18"/>
      <c r="E27" s="18"/>
    </row>
    <row r="28" ht="22" customHeight="1" spans="1:5" x14ac:dyDescent="0.25">
      <c r="A28" s="19" t="s">
        <v>44</v>
      </c>
      <c r="B28" s="19" t="s">
        <v>45</v>
      </c>
      <c r="C28" s="19" t="s">
        <v>46</v>
      </c>
      <c r="D28" s="19" t="s">
        <v>47</v>
      </c>
      <c r="E28" s="19" t="s">
        <v>48</v>
      </c>
    </row>
    <row r="29" ht="18" customHeight="1" spans="1:5" x14ac:dyDescent="0.25">
      <c r="A29" s="20" t="s">
        <v>99</v>
      </c>
      <c r="B29" s="21" t="s">
        <v>100</v>
      </c>
      <c r="C29" s="21" t="s">
        <v>95</v>
      </c>
      <c r="D29" s="22">
        <f>=IF(ROW()-29+1&lt;=5,120,IF(ROW()-29+1&lt;=10,150,180))</f>
        <v>120</v>
      </c>
      <c r="E29" s="21" t="s">
        <v>101</v>
      </c>
    </row>
    <row r="30" ht="18" customHeight="1" spans="1:5" x14ac:dyDescent="0.25">
      <c r="A30" s="20" t="s">
        <v>71</v>
      </c>
      <c r="B30" s="21" t="s">
        <v>102</v>
      </c>
      <c r="C30" s="21" t="s">
        <v>77</v>
      </c>
      <c r="D30" s="22">
        <f>=IF(ROW()-29+1&lt;=5,120,IF(ROW()-29+1&lt;=10,150,180))</f>
        <v>120</v>
      </c>
      <c r="E30" s="21" t="s">
        <v>103</v>
      </c>
    </row>
    <row r="31" ht="18" customHeight="1" spans="1:5" x14ac:dyDescent="0.25">
      <c r="A31" t="s">
        <v>1</v>
      </c>
      <c r="B31" s="8" t="s">
        <v>97</v>
      </c>
      <c r="C31" t="s">
        <v>1</v>
      </c>
      <c r="D31" s="29">
        <f>=SUM(D29:D30)</f>
        <v>240</v>
      </c>
      <c r="E31" t="s">
        <v>1</v>
      </c>
    </row>
    <row r="33" ht="18" customHeight="1" spans="1:5" x14ac:dyDescent="0.25">
      <c r="A33" s="18" t="s">
        <v>104</v>
      </c>
      <c r="B33" s="18"/>
      <c r="C33" s="18"/>
      <c r="D33" s="18"/>
      <c r="E33" s="18"/>
    </row>
    <row r="34" ht="22" customHeight="1" spans="1:5" x14ac:dyDescent="0.25">
      <c r="A34" s="19" t="s">
        <v>44</v>
      </c>
      <c r="B34" s="19" t="s">
        <v>45</v>
      </c>
      <c r="C34" s="19" t="s">
        <v>46</v>
      </c>
      <c r="D34" s="19" t="s">
        <v>47</v>
      </c>
      <c r="E34" s="19" t="s">
        <v>48</v>
      </c>
    </row>
    <row r="35" ht="18" customHeight="1" spans="1:5" x14ac:dyDescent="0.25">
      <c r="A35" s="20" t="s">
        <v>105</v>
      </c>
      <c r="B35" s="21" t="s">
        <v>106</v>
      </c>
      <c r="C35" s="21" t="s">
        <v>51</v>
      </c>
      <c r="D35" s="22">
        <f>=IF(ROW()-35+1&lt;=5,120,IF(ROW()-35+1&lt;=10,150,180))</f>
        <v>120</v>
      </c>
      <c r="E35" s="21" t="s">
        <v>107</v>
      </c>
    </row>
    <row r="36" ht="18" customHeight="1" spans="1:5" x14ac:dyDescent="0.25">
      <c r="A36" s="20" t="s">
        <v>49</v>
      </c>
      <c r="B36" s="21" t="s">
        <v>108</v>
      </c>
      <c r="C36" s="21" t="s">
        <v>109</v>
      </c>
      <c r="D36" s="22">
        <f>=IF(ROW()-35+1&lt;=5,120,IF(ROW()-35+1&lt;=10,150,180))</f>
        <v>120</v>
      </c>
      <c r="E36" s="21" t="s">
        <v>110</v>
      </c>
    </row>
    <row r="37" ht="18" customHeight="1" spans="1:5" x14ac:dyDescent="0.25">
      <c r="A37" s="20" t="s">
        <v>111</v>
      </c>
      <c r="B37" s="21" t="s">
        <v>112</v>
      </c>
      <c r="C37" s="21" t="s">
        <v>1</v>
      </c>
      <c r="D37" s="22">
        <f>=IF(ROW()-35+1&lt;=5,120,IF(ROW()-35+1&lt;=10,150,180))</f>
        <v>120</v>
      </c>
      <c r="E37" s="21" t="s">
        <v>113</v>
      </c>
    </row>
    <row r="38" ht="18" customHeight="1" spans="1:5" x14ac:dyDescent="0.25">
      <c r="A38" s="20" t="s">
        <v>53</v>
      </c>
      <c r="B38" s="21" t="s">
        <v>114</v>
      </c>
      <c r="C38" s="21" t="s">
        <v>115</v>
      </c>
      <c r="D38" s="22">
        <f>=IF(ROW()-35+1&lt;=5,120,IF(ROW()-35+1&lt;=10,150,180))</f>
        <v>120</v>
      </c>
      <c r="E38" s="21" t="s">
        <v>116</v>
      </c>
    </row>
    <row r="39" ht="18" customHeight="1" spans="1:5" x14ac:dyDescent="0.25">
      <c r="A39" s="20" t="s">
        <v>53</v>
      </c>
      <c r="B39" s="21" t="s">
        <v>117</v>
      </c>
      <c r="C39" s="21" t="s">
        <v>1</v>
      </c>
      <c r="D39" s="22">
        <f>=IF(ROW()-35+1&lt;=5,120,IF(ROW()-35+1&lt;=10,150,180))</f>
        <v>120</v>
      </c>
      <c r="E39" s="21" t="s">
        <v>118</v>
      </c>
    </row>
    <row r="40" ht="18" customHeight="1" spans="1:5" x14ac:dyDescent="0.25">
      <c r="A40" t="s">
        <v>1</v>
      </c>
      <c r="B40" s="8" t="s">
        <v>119</v>
      </c>
      <c r="C40" t="s">
        <v>1</v>
      </c>
      <c r="D40" s="29">
        <f>=SUM(D35:D39)</f>
        <v>600</v>
      </c>
      <c r="E40" t="s">
        <v>1</v>
      </c>
    </row>
    <row r="42" ht="18" customHeight="1" spans="1:5" x14ac:dyDescent="0.25">
      <c r="A42" s="18" t="s">
        <v>120</v>
      </c>
      <c r="B42" s="18"/>
      <c r="C42" s="18"/>
      <c r="D42" s="18"/>
      <c r="E42" s="18"/>
    </row>
    <row r="43" ht="22" customHeight="1" spans="1:5" x14ac:dyDescent="0.25">
      <c r="A43" s="19" t="s">
        <v>44</v>
      </c>
      <c r="B43" s="19" t="s">
        <v>45</v>
      </c>
      <c r="C43" s="19" t="s">
        <v>46</v>
      </c>
      <c r="D43" s="19" t="s">
        <v>47</v>
      </c>
      <c r="E43" s="19" t="s">
        <v>48</v>
      </c>
    </row>
    <row r="44" ht="18" customHeight="1" spans="1:5" x14ac:dyDescent="0.25">
      <c r="A44" s="20" t="s">
        <v>121</v>
      </c>
      <c r="B44" s="21" t="s">
        <v>122</v>
      </c>
      <c r="C44" s="21" t="s">
        <v>1</v>
      </c>
      <c r="D44" s="22">
        <f>=IF(ROW()-44+1&lt;=5,120,IF(ROW()-44+1&lt;=10,150,180))</f>
        <v>120</v>
      </c>
      <c r="E44" s="21" t="s">
        <v>123</v>
      </c>
    </row>
    <row r="45" ht="18" customHeight="1" spans="1:5" x14ac:dyDescent="0.25">
      <c r="A45" s="20" t="s">
        <v>80</v>
      </c>
      <c r="B45" s="21" t="s">
        <v>124</v>
      </c>
      <c r="C45" s="21" t="s">
        <v>1</v>
      </c>
      <c r="D45" s="22">
        <f>=IF(ROW()-44+1&lt;=5,120,IF(ROW()-44+1&lt;=10,150,180))</f>
        <v>120</v>
      </c>
      <c r="E45" s="21" t="s">
        <v>125</v>
      </c>
    </row>
    <row r="46" ht="18" customHeight="1" spans="1:5" x14ac:dyDescent="0.25">
      <c r="A46" s="20" t="s">
        <v>126</v>
      </c>
      <c r="B46" s="21" t="s">
        <v>127</v>
      </c>
      <c r="C46" s="21" t="s">
        <v>1</v>
      </c>
      <c r="D46" s="22">
        <f>=IF(ROW()-44+1&lt;=5,120,IF(ROW()-44+1&lt;=10,150,180))</f>
        <v>120</v>
      </c>
      <c r="E46" s="21" t="s">
        <v>128</v>
      </c>
    </row>
    <row r="47" ht="18" customHeight="1" spans="1:5" x14ac:dyDescent="0.25">
      <c r="A47" t="s">
        <v>1</v>
      </c>
      <c r="B47" s="8" t="s">
        <v>129</v>
      </c>
      <c r="C47" t="s">
        <v>1</v>
      </c>
      <c r="D47" s="29">
        <f>=SUM(D44:D46)</f>
        <v>360</v>
      </c>
      <c r="E47" t="s">
        <v>1</v>
      </c>
    </row>
    <row r="49" ht="18" customHeight="1" spans="1:5" x14ac:dyDescent="0.25">
      <c r="A49" s="18" t="s">
        <v>130</v>
      </c>
      <c r="B49" s="18"/>
      <c r="C49" s="18"/>
      <c r="D49" s="18"/>
      <c r="E49" s="18"/>
    </row>
    <row r="50" ht="22" customHeight="1" spans="1:5" x14ac:dyDescent="0.25">
      <c r="A50" s="19" t="s">
        <v>44</v>
      </c>
      <c r="B50" s="19" t="s">
        <v>45</v>
      </c>
      <c r="C50" s="19" t="s">
        <v>46</v>
      </c>
      <c r="D50" s="19" t="s">
        <v>47</v>
      </c>
      <c r="E50" s="19" t="s">
        <v>48</v>
      </c>
    </row>
    <row r="51" ht="18" customHeight="1" spans="1:5" x14ac:dyDescent="0.25">
      <c r="A51" s="20" t="s">
        <v>131</v>
      </c>
      <c r="B51" s="21" t="s">
        <v>132</v>
      </c>
      <c r="C51" s="21" t="s">
        <v>95</v>
      </c>
      <c r="D51" s="22">
        <f>=IF(ROW()-51+1&lt;=5,120,IF(ROW()-51+1&lt;=10,150,180))</f>
        <v>120</v>
      </c>
      <c r="E51" s="21" t="s">
        <v>133</v>
      </c>
    </row>
    <row r="52" ht="18" customHeight="1" spans="1:5" x14ac:dyDescent="0.25">
      <c r="A52" s="20" t="s">
        <v>134</v>
      </c>
      <c r="B52" s="21" t="s">
        <v>135</v>
      </c>
      <c r="C52" s="21" t="s">
        <v>136</v>
      </c>
      <c r="D52" s="22">
        <f>=IF(ROW()-51+1&lt;=5,120,IF(ROW()-51+1&lt;=10,150,180))</f>
        <v>120</v>
      </c>
      <c r="E52" s="21" t="s">
        <v>137</v>
      </c>
    </row>
    <row r="53" ht="18" customHeight="1" spans="1:5" x14ac:dyDescent="0.25">
      <c r="A53" t="s">
        <v>1</v>
      </c>
      <c r="B53" s="8" t="s">
        <v>97</v>
      </c>
      <c r="C53" t="s">
        <v>1</v>
      </c>
      <c r="D53" s="29">
        <f>=SUM(D51:D52)</f>
        <v>240</v>
      </c>
      <c r="E53" t="s">
        <v>1</v>
      </c>
    </row>
    <row r="56" ht="22" customHeight="1" spans="1:5" x14ac:dyDescent="0.25">
      <c r="A56" t="s">
        <v>1</v>
      </c>
      <c r="B56" s="30" t="s">
        <v>138</v>
      </c>
      <c r="C56" t="s">
        <v>1</v>
      </c>
      <c r="D56" s="31">
        <v>3390</v>
      </c>
      <c r="E56" t="s">
        <v>1</v>
      </c>
    </row>
  </sheetData>
  <mergeCells count="7">
    <mergeCell ref="A1:E1"/>
    <mergeCell ref="A5:E5"/>
    <mergeCell ref="A21:E21"/>
    <mergeCell ref="A27:E27"/>
    <mergeCell ref="A33:E33"/>
    <mergeCell ref="A42:E42"/>
    <mergeCell ref="A49:E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14" customWidth="1"/>
    <col min="2" max="2" width="40" customWidth="1"/>
    <col min="3" max="3" width="28" customWidth="1"/>
    <col min="4" max="4" width="14" customWidth="1"/>
    <col min="5" max="5" width="50" customWidth="1"/>
  </cols>
  <sheetData>
    <row r="1" ht="28" customHeight="1" spans="1:5" x14ac:dyDescent="0.25">
      <c r="A1" s="14" t="s">
        <v>139</v>
      </c>
      <c r="B1" s="14"/>
      <c r="C1" s="14"/>
      <c r="D1" s="14"/>
      <c r="E1" s="14"/>
    </row>
    <row r="3" ht="14" customHeight="1" spans="1:3" x14ac:dyDescent="0.25">
      <c r="A3" s="15" t="s">
        <v>140</v>
      </c>
      <c r="B3" s="16" t="s">
        <v>141</v>
      </c>
      <c r="C3" s="17" t="s">
        <v>142</v>
      </c>
    </row>
    <row r="5" ht="22" customHeight="1" spans="1:5" x14ac:dyDescent="0.25">
      <c r="A5" s="19" t="s">
        <v>44</v>
      </c>
      <c r="B5" s="19" t="s">
        <v>45</v>
      </c>
      <c r="C5" s="19" t="s">
        <v>46</v>
      </c>
      <c r="D5" s="19" t="s">
        <v>47</v>
      </c>
      <c r="E5" s="19" t="s">
        <v>48</v>
      </c>
    </row>
    <row r="6" ht="18" customHeight="1" spans="1:5" x14ac:dyDescent="0.25">
      <c r="A6" s="20" t="s">
        <v>131</v>
      </c>
      <c r="B6" s="21" t="s">
        <v>132</v>
      </c>
      <c r="C6" s="21" t="s">
        <v>95</v>
      </c>
      <c r="D6" s="22">
        <f>=IF(ROW()-6+1&lt;=5,120,IF(ROW()-6+1&lt;=10,150,180))</f>
        <v>120</v>
      </c>
      <c r="E6" s="21" t="s">
        <v>133</v>
      </c>
    </row>
    <row r="7" ht="18" customHeight="1" spans="1:5" x14ac:dyDescent="0.25">
      <c r="A7" s="20" t="s">
        <v>134</v>
      </c>
      <c r="B7" s="21" t="s">
        <v>135</v>
      </c>
      <c r="C7" s="21" t="s">
        <v>136</v>
      </c>
      <c r="D7" s="22">
        <f>=IF(ROW()-6+1&lt;=5,120,IF(ROW()-6+1&lt;=10,150,180))</f>
        <v>120</v>
      </c>
      <c r="E7" s="21" t="s">
        <v>137</v>
      </c>
    </row>
    <row r="9" spans="1:5" x14ac:dyDescent="0.25">
      <c r="A9" t="s">
        <v>1</v>
      </c>
      <c r="B9" s="8" t="s">
        <v>97</v>
      </c>
      <c r="C9" t="s">
        <v>1</v>
      </c>
      <c r="D9" s="29">
        <f>=SUM(D6:D7)</f>
        <v>240</v>
      </c>
      <c r="E9" t="s">
        <v>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2" t="s">
        <v>143</v>
      </c>
      <c r="B1" s="32"/>
      <c r="C1" s="32"/>
      <c r="D1" s="32"/>
      <c r="E1" s="32"/>
      <c r="F1" s="32"/>
      <c r="G1" s="32"/>
    </row>
    <row r="3" ht="22" customHeight="1" spans="1:7" x14ac:dyDescent="0.25">
      <c r="A3" s="3" t="s">
        <v>144</v>
      </c>
      <c r="B3" s="3" t="s">
        <v>45</v>
      </c>
      <c r="C3" s="3" t="s">
        <v>145</v>
      </c>
      <c r="D3" s="3" t="s">
        <v>146</v>
      </c>
      <c r="E3" s="3" t="s">
        <v>147</v>
      </c>
      <c r="F3" s="3" t="s">
        <v>47</v>
      </c>
      <c r="G3" s="3" t="s">
        <v>48</v>
      </c>
    </row>
    <row r="4" ht="14" customHeight="1" spans="1:2" x14ac:dyDescent="0.25">
      <c r="A4" t="s">
        <v>1</v>
      </c>
      <c r="B4" s="33" t="s">
        <v>148</v>
      </c>
    </row>
    <row r="5" ht="18" customHeight="1" spans="1:7" x14ac:dyDescent="0.25">
      <c r="A5" s="34" t="s">
        <v>134</v>
      </c>
      <c r="B5" s="34" t="s">
        <v>149</v>
      </c>
      <c r="C5" s="34" t="s">
        <v>1</v>
      </c>
      <c r="D5" s="35" t="s">
        <v>150</v>
      </c>
      <c r="E5" s="35" t="s">
        <v>151</v>
      </c>
      <c r="F5" s="36">
        <f>=IF(D5="NOVA",7.5,IF(D5="FUP",5,0))</f>
        <v>7.5</v>
      </c>
      <c r="G5" s="34" t="s">
        <v>152</v>
      </c>
    </row>
    <row r="6" ht="18" customHeight="1" spans="1:7" x14ac:dyDescent="0.25">
      <c r="A6" s="34" t="s">
        <v>134</v>
      </c>
      <c r="B6" s="34" t="s">
        <v>153</v>
      </c>
      <c r="C6" s="34" t="s">
        <v>1</v>
      </c>
      <c r="D6" s="35" t="s">
        <v>150</v>
      </c>
      <c r="E6" s="35" t="s">
        <v>151</v>
      </c>
      <c r="F6" s="36">
        <f>=IF(D6="NOVA",7.5,IF(D6="FUP",5,0))</f>
        <v>7.5</v>
      </c>
      <c r="G6" s="34" t="s">
        <v>154</v>
      </c>
    </row>
    <row r="7" ht="18" customHeight="1" spans="1:7" x14ac:dyDescent="0.25">
      <c r="A7" s="34" t="s">
        <v>126</v>
      </c>
      <c r="B7" s="34" t="s">
        <v>72</v>
      </c>
      <c r="C7" s="34" t="s">
        <v>1</v>
      </c>
      <c r="D7" s="35" t="s">
        <v>150</v>
      </c>
      <c r="E7" s="35" t="s">
        <v>151</v>
      </c>
      <c r="F7" s="36">
        <f>=IF(D7="NOVA",7.5,IF(D7="FUP",5,0))</f>
        <v>7.5</v>
      </c>
      <c r="G7" s="34" t="s">
        <v>74</v>
      </c>
    </row>
    <row r="8" ht="18" customHeight="1" spans="1:7" x14ac:dyDescent="0.25">
      <c r="A8" s="34" t="s">
        <v>126</v>
      </c>
      <c r="B8" s="34" t="s">
        <v>76</v>
      </c>
      <c r="C8" s="34" t="s">
        <v>51</v>
      </c>
      <c r="D8" s="35" t="s">
        <v>150</v>
      </c>
      <c r="E8" s="35" t="s">
        <v>151</v>
      </c>
      <c r="F8" s="36">
        <f>=IF(D8="NOVA",7.5,IF(D8="FUP",5,0))</f>
        <v>7.5</v>
      </c>
      <c r="G8" s="34" t="s">
        <v>78</v>
      </c>
    </row>
    <row r="9" ht="18" customHeight="1" spans="1:7" x14ac:dyDescent="0.25">
      <c r="A9" s="34" t="s">
        <v>126</v>
      </c>
      <c r="B9" s="34" t="s">
        <v>57</v>
      </c>
      <c r="C9" s="34" t="s">
        <v>1</v>
      </c>
      <c r="D9" s="35" t="s">
        <v>150</v>
      </c>
      <c r="E9" s="35" t="s">
        <v>151</v>
      </c>
      <c r="F9" s="36">
        <f>=IF(D9="NOVA",7.5,IF(D9="FUP",5,0))</f>
        <v>7.5</v>
      </c>
      <c r="G9" s="34" t="s">
        <v>58</v>
      </c>
    </row>
    <row r="10" ht="18" customHeight="1" spans="1:7" x14ac:dyDescent="0.25">
      <c r="A10" s="34" t="s">
        <v>80</v>
      </c>
      <c r="B10" s="34" t="s">
        <v>155</v>
      </c>
      <c r="C10" s="34" t="s">
        <v>1</v>
      </c>
      <c r="D10" s="35" t="s">
        <v>150</v>
      </c>
      <c r="E10" s="35" t="s">
        <v>151</v>
      </c>
      <c r="F10" s="36">
        <f>=IF(D10="NOVA",7.5,IF(D10="FUP",5,0))</f>
        <v>7.5</v>
      </c>
      <c r="G10" s="34" t="s">
        <v>156</v>
      </c>
    </row>
    <row r="11" ht="18" customHeight="1" spans="1:7" x14ac:dyDescent="0.25">
      <c r="A11" s="34" t="s">
        <v>80</v>
      </c>
      <c r="B11" s="34" t="s">
        <v>50</v>
      </c>
      <c r="C11" s="34" t="s">
        <v>1</v>
      </c>
      <c r="D11" s="35" t="s">
        <v>150</v>
      </c>
      <c r="E11" s="35" t="s">
        <v>151</v>
      </c>
      <c r="F11" s="36">
        <f>=IF(D11="NOVA",7.5,IF(D11="FUP",5,0))</f>
        <v>7.5</v>
      </c>
      <c r="G11" s="34" t="s">
        <v>52</v>
      </c>
    </row>
    <row r="12" ht="18" customHeight="1" spans="1:7" x14ac:dyDescent="0.25">
      <c r="A12" s="34" t="s">
        <v>131</v>
      </c>
      <c r="B12" s="34" t="s">
        <v>85</v>
      </c>
      <c r="C12" s="34" t="s">
        <v>157</v>
      </c>
      <c r="D12" s="35" t="s">
        <v>150</v>
      </c>
      <c r="E12" s="35" t="s">
        <v>151</v>
      </c>
      <c r="F12" s="36">
        <f>=IF(D12="NOVA",7.5,IF(D12="FUP",5,0))</f>
        <v>7.5</v>
      </c>
      <c r="G12" s="34" t="s">
        <v>87</v>
      </c>
    </row>
    <row r="13" ht="18" customHeight="1" spans="1:7" x14ac:dyDescent="0.25">
      <c r="A13" s="34" t="s">
        <v>131</v>
      </c>
      <c r="B13" s="34" t="s">
        <v>158</v>
      </c>
      <c r="C13" s="34" t="s">
        <v>1</v>
      </c>
      <c r="D13" s="35" t="s">
        <v>150</v>
      </c>
      <c r="E13" s="35" t="s">
        <v>151</v>
      </c>
      <c r="F13" s="36">
        <f>=IF(D13="NOVA",7.5,IF(D13="FUP",5,0))</f>
        <v>7.5</v>
      </c>
      <c r="G13" s="34" t="s">
        <v>159</v>
      </c>
    </row>
    <row r="14" ht="18" customHeight="1" spans="1:7" x14ac:dyDescent="0.25">
      <c r="A14" s="34" t="s">
        <v>71</v>
      </c>
      <c r="B14" s="34" t="s">
        <v>160</v>
      </c>
      <c r="C14" s="34" t="s">
        <v>1</v>
      </c>
      <c r="D14" s="35" t="s">
        <v>150</v>
      </c>
      <c r="E14" s="35" t="s">
        <v>151</v>
      </c>
      <c r="F14" s="36">
        <f>=IF(D14="NOVA",7.5,IF(D14="FUP",5,0))</f>
        <v>7.5</v>
      </c>
      <c r="G14" s="34" t="s">
        <v>161</v>
      </c>
    </row>
    <row r="15" ht="18" customHeight="1" spans="1:7" x14ac:dyDescent="0.25">
      <c r="A15" s="34" t="s">
        <v>71</v>
      </c>
      <c r="B15" s="34" t="s">
        <v>162</v>
      </c>
      <c r="C15" s="34" t="s">
        <v>1</v>
      </c>
      <c r="D15" s="35" t="s">
        <v>150</v>
      </c>
      <c r="E15" s="35" t="s">
        <v>151</v>
      </c>
      <c r="F15" s="36">
        <f>=IF(D15="NOVA",7.5,IF(D15="FUP",5,0))</f>
        <v>7.5</v>
      </c>
      <c r="G15" s="34" t="s">
        <v>163</v>
      </c>
    </row>
    <row r="16" ht="18" customHeight="1" spans="1:7" x14ac:dyDescent="0.25">
      <c r="A16" s="34" t="s">
        <v>164</v>
      </c>
      <c r="B16" s="34" t="s">
        <v>165</v>
      </c>
      <c r="C16" s="34" t="s">
        <v>1</v>
      </c>
      <c r="D16" s="35" t="s">
        <v>150</v>
      </c>
      <c r="E16" s="35" t="s">
        <v>151</v>
      </c>
      <c r="F16" s="36">
        <f>=IF(D16="NOVA",7.5,IF(D16="FUP",5,0))</f>
        <v>7.5</v>
      </c>
      <c r="G16" s="34" t="s">
        <v>166</v>
      </c>
    </row>
    <row r="17" ht="18" customHeight="1" spans="1:7" x14ac:dyDescent="0.25">
      <c r="A17" s="37" t="s">
        <v>70</v>
      </c>
      <c r="B17" s="37" t="s">
        <v>50</v>
      </c>
      <c r="C17" s="37" t="s">
        <v>51</v>
      </c>
      <c r="D17" s="38" t="s">
        <v>167</v>
      </c>
      <c r="E17" s="38" t="s">
        <v>151</v>
      </c>
      <c r="F17" s="39">
        <f>=IF(D17="NOVA",7.5,IF(D17="FUP",5,0))</f>
        <v>5</v>
      </c>
      <c r="G17" s="37" t="s">
        <v>52</v>
      </c>
    </row>
    <row r="18" ht="18" customHeight="1" spans="1:7" x14ac:dyDescent="0.25">
      <c r="A18" s="34" t="s">
        <v>168</v>
      </c>
      <c r="B18" s="34" t="s">
        <v>169</v>
      </c>
      <c r="C18" s="34" t="s">
        <v>1</v>
      </c>
      <c r="D18" s="35" t="s">
        <v>150</v>
      </c>
      <c r="E18" s="35" t="s">
        <v>151</v>
      </c>
      <c r="F18" s="36">
        <f>=IF(D18="NOVA",7.5,IF(D18="FUP",5,0))</f>
        <v>7.5</v>
      </c>
      <c r="G18" s="34" t="s">
        <v>170</v>
      </c>
    </row>
    <row r="19" ht="18" customHeight="1" spans="1:7" x14ac:dyDescent="0.25">
      <c r="A19" s="34" t="s">
        <v>105</v>
      </c>
      <c r="B19" s="34" t="s">
        <v>171</v>
      </c>
      <c r="C19" s="34" t="s">
        <v>172</v>
      </c>
      <c r="D19" s="35" t="s">
        <v>150</v>
      </c>
      <c r="E19" s="35" t="s">
        <v>151</v>
      </c>
      <c r="F19" s="36">
        <f>=IF(D19="NOVA",7.5,IF(D19="FUP",5,0))</f>
        <v>7.5</v>
      </c>
      <c r="G19" s="34" t="s">
        <v>173</v>
      </c>
    </row>
    <row r="20" ht="18" customHeight="1" spans="1:7" x14ac:dyDescent="0.25">
      <c r="A20" s="37" t="s">
        <v>90</v>
      </c>
      <c r="B20" s="37" t="s">
        <v>162</v>
      </c>
      <c r="C20" s="37" t="s">
        <v>174</v>
      </c>
      <c r="D20" s="38" t="s">
        <v>167</v>
      </c>
      <c r="E20" s="38" t="s">
        <v>151</v>
      </c>
      <c r="F20" s="39">
        <f>=IF(D20="NOVA",7.5,IF(D20="FUP",5,0))</f>
        <v>5</v>
      </c>
      <c r="G20" s="37" t="s">
        <v>163</v>
      </c>
    </row>
    <row r="22" spans="1:6" x14ac:dyDescent="0.25">
      <c r="A22" t="s">
        <v>1</v>
      </c>
      <c r="B22" s="8" t="s">
        <v>175</v>
      </c>
      <c r="C22" t="s">
        <v>1</v>
      </c>
      <c r="D22" s="40" t="s">
        <v>176</v>
      </c>
      <c r="E22" t="s">
        <v>1</v>
      </c>
      <c r="F22" s="7">
        <f>=SUM(F5:F21)</f>
        <v>115</v>
      </c>
    </row>
  </sheetData>
  <mergeCells count="1">
    <mergeCell ref="A1:G1"/>
  </mergeCells>
  <dataValidations count="2">
    <dataValidation type="list" sqref="D10:D20">
      <formula1>"NOVA,FUP"</formula1>
    </dataValidation>
    <dataValidation type="list" sqref="D5:D20">
      <formula1>"NOVA,FUP"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2" t="s">
        <v>177</v>
      </c>
      <c r="B1" s="32"/>
      <c r="C1" s="32"/>
      <c r="D1" s="32"/>
      <c r="E1" s="32"/>
      <c r="F1" s="32"/>
      <c r="G1" s="32"/>
    </row>
    <row r="3" ht="22" customHeight="1" spans="1:7" x14ac:dyDescent="0.25">
      <c r="A3" s="3" t="s">
        <v>144</v>
      </c>
      <c r="B3" s="3" t="s">
        <v>45</v>
      </c>
      <c r="C3" s="3" t="s">
        <v>145</v>
      </c>
      <c r="D3" s="3" t="s">
        <v>146</v>
      </c>
      <c r="E3" s="3" t="s">
        <v>147</v>
      </c>
      <c r="F3" s="3" t="s">
        <v>47</v>
      </c>
      <c r="G3" s="3" t="s">
        <v>48</v>
      </c>
    </row>
    <row r="4" ht="14" customHeight="1" spans="1:2" x14ac:dyDescent="0.25">
      <c r="A4" t="s">
        <v>1</v>
      </c>
      <c r="B4" s="33" t="s">
        <v>148</v>
      </c>
    </row>
    <row r="5" ht="18" customHeight="1" spans="1:7" x14ac:dyDescent="0.25">
      <c r="A5" s="34" t="s">
        <v>134</v>
      </c>
      <c r="B5" s="34" t="s">
        <v>178</v>
      </c>
      <c r="C5" s="34" t="s">
        <v>1</v>
      </c>
      <c r="D5" s="35" t="s">
        <v>150</v>
      </c>
      <c r="E5" s="35" t="s">
        <v>151</v>
      </c>
      <c r="F5" s="36">
        <f>=IF(D5="NOVA",7.5,IF(D5="FUP",5,0))</f>
        <v>7.5</v>
      </c>
      <c r="G5" s="34" t="s">
        <v>179</v>
      </c>
    </row>
    <row r="6" ht="18" customHeight="1" spans="1:7" x14ac:dyDescent="0.25">
      <c r="A6" s="34" t="s">
        <v>134</v>
      </c>
      <c r="B6" s="34" t="s">
        <v>180</v>
      </c>
      <c r="C6" s="34" t="s">
        <v>1</v>
      </c>
      <c r="D6" s="35" t="s">
        <v>150</v>
      </c>
      <c r="E6" s="35" t="s">
        <v>151</v>
      </c>
      <c r="F6" s="36">
        <f>=IF(D6="NOVA",7.5,IF(D6="FUP",5,0))</f>
        <v>7.5</v>
      </c>
      <c r="G6" s="34" t="s">
        <v>181</v>
      </c>
    </row>
    <row r="7" ht="18" customHeight="1" spans="1:7" x14ac:dyDescent="0.25">
      <c r="A7" s="34" t="s">
        <v>134</v>
      </c>
      <c r="B7" s="34" t="s">
        <v>182</v>
      </c>
      <c r="C7" s="34" t="s">
        <v>1</v>
      </c>
      <c r="D7" s="35" t="s">
        <v>150</v>
      </c>
      <c r="E7" s="35" t="s">
        <v>151</v>
      </c>
      <c r="F7" s="36">
        <f>=IF(D7="NOVA",7.5,IF(D7="FUP",5,0))</f>
        <v>7.5</v>
      </c>
      <c r="G7" s="34" t="s">
        <v>183</v>
      </c>
    </row>
    <row r="8" ht="18" customHeight="1" spans="1:7" x14ac:dyDescent="0.25">
      <c r="A8" s="34" t="s">
        <v>134</v>
      </c>
      <c r="B8" s="34" t="s">
        <v>184</v>
      </c>
      <c r="C8" s="34" t="s">
        <v>1</v>
      </c>
      <c r="D8" s="35" t="s">
        <v>150</v>
      </c>
      <c r="E8" s="35" t="s">
        <v>151</v>
      </c>
      <c r="F8" s="36">
        <f>=IF(D8="NOVA",7.5,IF(D8="FUP",5,0))</f>
        <v>7.5</v>
      </c>
      <c r="G8" s="34" t="s">
        <v>185</v>
      </c>
    </row>
    <row r="9" ht="18" customHeight="1" spans="1:7" x14ac:dyDescent="0.25">
      <c r="A9" s="34" t="s">
        <v>84</v>
      </c>
      <c r="B9" s="34" t="s">
        <v>91</v>
      </c>
      <c r="C9" s="34" t="s">
        <v>1</v>
      </c>
      <c r="D9" s="35" t="s">
        <v>150</v>
      </c>
      <c r="E9" s="35" t="s">
        <v>151</v>
      </c>
      <c r="F9" s="36">
        <f>=IF(D9="NOVA",7.5,IF(D9="FUP",5,0))</f>
        <v>7.5</v>
      </c>
      <c r="G9" s="34" t="s">
        <v>93</v>
      </c>
    </row>
    <row r="10" ht="18" customHeight="1" spans="1:7" x14ac:dyDescent="0.25">
      <c r="A10" s="37" t="s">
        <v>84</v>
      </c>
      <c r="B10" s="37" t="s">
        <v>1</v>
      </c>
      <c r="C10" s="37" t="s">
        <v>1</v>
      </c>
      <c r="D10" s="38" t="s">
        <v>167</v>
      </c>
      <c r="E10" s="38" t="s">
        <v>151</v>
      </c>
      <c r="F10" s="39">
        <f>=IF(D10="NOVA",7.5,IF(D10="FUP",5,0))</f>
        <v>5</v>
      </c>
      <c r="G10" s="37" t="s">
        <v>1</v>
      </c>
    </row>
    <row r="11" ht="18" customHeight="1" spans="1:7" x14ac:dyDescent="0.25">
      <c r="A11" s="34" t="s">
        <v>84</v>
      </c>
      <c r="B11" s="34" t="s">
        <v>186</v>
      </c>
      <c r="C11" s="34" t="s">
        <v>1</v>
      </c>
      <c r="D11" s="35" t="s">
        <v>150</v>
      </c>
      <c r="E11" s="35" t="s">
        <v>151</v>
      </c>
      <c r="F11" s="36">
        <f>=IF(D11="NOVA",7.5,IF(D11="FUP",5,0))</f>
        <v>7.5</v>
      </c>
      <c r="G11" s="34" t="s">
        <v>187</v>
      </c>
    </row>
    <row r="12" ht="18" customHeight="1" spans="1:7" x14ac:dyDescent="0.25">
      <c r="A12" s="34" t="s">
        <v>126</v>
      </c>
      <c r="B12" s="34" t="s">
        <v>188</v>
      </c>
      <c r="C12" s="34" t="s">
        <v>1</v>
      </c>
      <c r="D12" s="35" t="s">
        <v>150</v>
      </c>
      <c r="E12" s="35" t="s">
        <v>151</v>
      </c>
      <c r="F12" s="36">
        <f>=IF(D12="NOVA",7.5,IF(D12="FUP",5,0))</f>
        <v>7.5</v>
      </c>
      <c r="G12" s="34" t="s">
        <v>189</v>
      </c>
    </row>
    <row r="13" ht="18" customHeight="1" spans="1:7" x14ac:dyDescent="0.25">
      <c r="A13" s="34" t="s">
        <v>126</v>
      </c>
      <c r="B13" s="34" t="s">
        <v>190</v>
      </c>
      <c r="C13" s="34" t="s">
        <v>1</v>
      </c>
      <c r="D13" s="35" t="s">
        <v>150</v>
      </c>
      <c r="E13" s="35" t="s">
        <v>151</v>
      </c>
      <c r="F13" s="36">
        <f>=IF(D13="NOVA",7.5,IF(D13="FUP",5,0))</f>
        <v>7.5</v>
      </c>
      <c r="G13" s="34" t="s">
        <v>191</v>
      </c>
    </row>
    <row r="14" ht="18" customHeight="1" spans="1:7" x14ac:dyDescent="0.25">
      <c r="A14" s="34" t="s">
        <v>126</v>
      </c>
      <c r="B14" s="34" t="s">
        <v>192</v>
      </c>
      <c r="C14" s="34" t="s">
        <v>1</v>
      </c>
      <c r="D14" s="35" t="s">
        <v>150</v>
      </c>
      <c r="E14" s="35" t="s">
        <v>151</v>
      </c>
      <c r="F14" s="36">
        <f>=IF(D14="NOVA",7.5,IF(D14="FUP",5,0))</f>
        <v>7.5</v>
      </c>
      <c r="G14" s="34" t="s">
        <v>193</v>
      </c>
    </row>
    <row r="15" ht="18" customHeight="1" spans="1:7" x14ac:dyDescent="0.25">
      <c r="A15" s="34" t="s">
        <v>131</v>
      </c>
      <c r="B15" s="34" t="s">
        <v>194</v>
      </c>
      <c r="C15" s="34" t="s">
        <v>1</v>
      </c>
      <c r="D15" s="35" t="s">
        <v>150</v>
      </c>
      <c r="E15" s="35" t="s">
        <v>151</v>
      </c>
      <c r="F15" s="36">
        <f>=IF(D15="NOVA",7.5,IF(D15="FUP",5,0))</f>
        <v>7.5</v>
      </c>
      <c r="G15" s="34" t="s">
        <v>195</v>
      </c>
    </row>
    <row r="16" ht="18" customHeight="1" spans="1:7" x14ac:dyDescent="0.25">
      <c r="A16" s="37" t="s">
        <v>131</v>
      </c>
      <c r="B16" s="37" t="s">
        <v>1</v>
      </c>
      <c r="C16" s="37" t="s">
        <v>1</v>
      </c>
      <c r="D16" s="38" t="s">
        <v>167</v>
      </c>
      <c r="E16" s="38" t="s">
        <v>151</v>
      </c>
      <c r="F16" s="39">
        <f>=IF(D16="NOVA",7.5,IF(D16="FUP",5,0))</f>
        <v>5</v>
      </c>
      <c r="G16" s="37" t="s">
        <v>1</v>
      </c>
    </row>
    <row r="17" ht="18" customHeight="1" spans="1:7" x14ac:dyDescent="0.25">
      <c r="A17" s="34" t="s">
        <v>131</v>
      </c>
      <c r="B17" s="34" t="s">
        <v>196</v>
      </c>
      <c r="C17" s="34" t="s">
        <v>1</v>
      </c>
      <c r="D17" s="35" t="s">
        <v>150</v>
      </c>
      <c r="E17" s="35" t="s">
        <v>151</v>
      </c>
      <c r="F17" s="36">
        <f>=IF(D17="NOVA",7.5,IF(D17="FUP",5,0))</f>
        <v>7.5</v>
      </c>
      <c r="G17" s="34" t="s">
        <v>197</v>
      </c>
    </row>
    <row r="18" ht="18" customHeight="1" spans="1:7" x14ac:dyDescent="0.25">
      <c r="A18" s="34" t="s">
        <v>71</v>
      </c>
      <c r="B18" s="34" t="s">
        <v>198</v>
      </c>
      <c r="C18" s="34" t="s">
        <v>1</v>
      </c>
      <c r="D18" s="35" t="s">
        <v>150</v>
      </c>
      <c r="E18" s="35" t="s">
        <v>151</v>
      </c>
      <c r="F18" s="36">
        <f>=IF(D18="NOVA",7.5,IF(D18="FUP",5,0))</f>
        <v>7.5</v>
      </c>
      <c r="G18" s="34" t="s">
        <v>199</v>
      </c>
    </row>
    <row r="19" ht="18" customHeight="1" spans="1:7" x14ac:dyDescent="0.25">
      <c r="A19" s="34" t="s">
        <v>71</v>
      </c>
      <c r="B19" s="34" t="s">
        <v>200</v>
      </c>
      <c r="C19" s="34" t="s">
        <v>1</v>
      </c>
      <c r="D19" s="35" t="s">
        <v>150</v>
      </c>
      <c r="E19" s="35" t="s">
        <v>151</v>
      </c>
      <c r="F19" s="36">
        <f>=IF(D19="NOVA",7.5,IF(D19="FUP",5,0))</f>
        <v>7.5</v>
      </c>
      <c r="G19" s="34" t="s">
        <v>201</v>
      </c>
    </row>
    <row r="20" ht="18" customHeight="1" spans="1:7" x14ac:dyDescent="0.25">
      <c r="A20" s="37" t="s">
        <v>71</v>
      </c>
      <c r="B20" s="37" t="s">
        <v>194</v>
      </c>
      <c r="C20" s="37" t="s">
        <v>1</v>
      </c>
      <c r="D20" s="38" t="s">
        <v>167</v>
      </c>
      <c r="E20" s="38" t="s">
        <v>151</v>
      </c>
      <c r="F20" s="39">
        <f>=IF(D20="NOVA",7.5,IF(D20="FUP",5,0))</f>
        <v>5</v>
      </c>
      <c r="G20" s="37" t="s">
        <v>195</v>
      </c>
    </row>
    <row r="21" ht="18" customHeight="1" spans="1:7" x14ac:dyDescent="0.25">
      <c r="A21" s="34" t="s">
        <v>164</v>
      </c>
      <c r="B21" s="34" t="s">
        <v>202</v>
      </c>
      <c r="C21" s="34" t="s">
        <v>1</v>
      </c>
      <c r="D21" s="35" t="s">
        <v>150</v>
      </c>
      <c r="E21" s="35" t="s">
        <v>151</v>
      </c>
      <c r="F21" s="36">
        <f>=IF(D21="NOVA",7.5,IF(D21="FUP",5,0))</f>
        <v>7.5</v>
      </c>
      <c r="G21" s="34" t="s">
        <v>203</v>
      </c>
    </row>
    <row r="22" ht="18" customHeight="1" spans="1:7" x14ac:dyDescent="0.25">
      <c r="A22" s="34" t="s">
        <v>70</v>
      </c>
      <c r="B22" s="34" t="s">
        <v>204</v>
      </c>
      <c r="C22" s="34" t="s">
        <v>1</v>
      </c>
      <c r="D22" s="35" t="s">
        <v>150</v>
      </c>
      <c r="E22" s="35" t="s">
        <v>205</v>
      </c>
      <c r="F22" s="36">
        <f>=IF(D22="NOVA",7.5,IF(D22="FUP",5,0))</f>
        <v>7.5</v>
      </c>
      <c r="G22" s="34" t="s">
        <v>206</v>
      </c>
    </row>
    <row r="23" ht="18" customHeight="1" spans="1:7" x14ac:dyDescent="0.25">
      <c r="A23" s="34" t="s">
        <v>70</v>
      </c>
      <c r="B23" s="34" t="s">
        <v>207</v>
      </c>
      <c r="C23" s="34" t="s">
        <v>1</v>
      </c>
      <c r="D23" s="35" t="s">
        <v>150</v>
      </c>
      <c r="E23" s="35" t="s">
        <v>151</v>
      </c>
      <c r="F23" s="36">
        <f>=IF(D23="NOVA",7.5,IF(D23="FUP",5,0))</f>
        <v>7.5</v>
      </c>
      <c r="G23" s="34" t="s">
        <v>208</v>
      </c>
    </row>
    <row r="24" ht="18" customHeight="1" spans="1:7" x14ac:dyDescent="0.25">
      <c r="A24" s="34" t="s">
        <v>209</v>
      </c>
      <c r="B24" s="34" t="s">
        <v>210</v>
      </c>
      <c r="C24" s="34" t="s">
        <v>1</v>
      </c>
      <c r="D24" s="35" t="s">
        <v>150</v>
      </c>
      <c r="E24" s="35" t="s">
        <v>151</v>
      </c>
      <c r="F24" s="36">
        <f>=IF(D24="NOVA",7.5,IF(D24="FUP",5,0))</f>
        <v>7.5</v>
      </c>
      <c r="G24" s="34" t="s">
        <v>211</v>
      </c>
    </row>
    <row r="25" ht="18" customHeight="1" spans="1:7" x14ac:dyDescent="0.25">
      <c r="A25" s="34" t="s">
        <v>168</v>
      </c>
      <c r="B25" s="34" t="s">
        <v>212</v>
      </c>
      <c r="C25" s="34" t="s">
        <v>1</v>
      </c>
      <c r="D25" s="35" t="s">
        <v>150</v>
      </c>
      <c r="E25" s="35" t="s">
        <v>151</v>
      </c>
      <c r="F25" s="36">
        <f>=IF(D25="NOVA",7.5,IF(D25="FUP",5,0))</f>
        <v>7.5</v>
      </c>
      <c r="G25" s="34" t="s">
        <v>213</v>
      </c>
    </row>
    <row r="26" ht="18" customHeight="1" spans="1:7" x14ac:dyDescent="0.25">
      <c r="A26" s="37" t="s">
        <v>168</v>
      </c>
      <c r="B26" s="37" t="s">
        <v>178</v>
      </c>
      <c r="C26" s="37" t="s">
        <v>1</v>
      </c>
      <c r="D26" s="38" t="s">
        <v>167</v>
      </c>
      <c r="E26" s="38" t="s">
        <v>151</v>
      </c>
      <c r="F26" s="39">
        <f>=IF(D26="NOVA",7.5,IF(D26="FUP",5,0))</f>
        <v>5</v>
      </c>
      <c r="G26" s="37" t="s">
        <v>179</v>
      </c>
    </row>
    <row r="27" ht="18" customHeight="1" spans="1:7" x14ac:dyDescent="0.25">
      <c r="A27" s="34" t="s">
        <v>111</v>
      </c>
      <c r="B27" s="34" t="s">
        <v>214</v>
      </c>
      <c r="C27" s="34" t="s">
        <v>1</v>
      </c>
      <c r="D27" s="35" t="s">
        <v>150</v>
      </c>
      <c r="E27" s="35" t="s">
        <v>151</v>
      </c>
      <c r="F27" s="36">
        <f>=IF(D27="NOVA",7.5,IF(D27="FUP",5,0))</f>
        <v>7.5</v>
      </c>
      <c r="G27" s="34" t="s">
        <v>215</v>
      </c>
    </row>
    <row r="28" ht="18" customHeight="1" spans="1:7" x14ac:dyDescent="0.25">
      <c r="A28" s="34" t="s">
        <v>111</v>
      </c>
      <c r="B28" s="34" t="s">
        <v>216</v>
      </c>
      <c r="C28" s="34" t="s">
        <v>1</v>
      </c>
      <c r="D28" s="35" t="s">
        <v>150</v>
      </c>
      <c r="E28" s="35" t="s">
        <v>151</v>
      </c>
      <c r="F28" s="36">
        <f>=IF(D28="NOVA",7.5,IF(D28="FUP",5,0))</f>
        <v>7.5</v>
      </c>
      <c r="G28" s="34" t="s">
        <v>217</v>
      </c>
    </row>
    <row r="29" ht="18" customHeight="1" spans="1:7" x14ac:dyDescent="0.25">
      <c r="A29" s="34" t="s">
        <v>111</v>
      </c>
      <c r="B29" s="34" t="s">
        <v>218</v>
      </c>
      <c r="C29" s="34" t="s">
        <v>1</v>
      </c>
      <c r="D29" s="35" t="s">
        <v>150</v>
      </c>
      <c r="E29" s="35" t="s">
        <v>151</v>
      </c>
      <c r="F29" s="36">
        <f>=IF(D29="NOVA",7.5,IF(D29="FUP",5,0))</f>
        <v>7.5</v>
      </c>
      <c r="G29" s="34" t="s">
        <v>219</v>
      </c>
    </row>
    <row r="30" ht="18" customHeight="1" spans="1:7" x14ac:dyDescent="0.25">
      <c r="A30" s="34" t="s">
        <v>59</v>
      </c>
      <c r="B30" s="34" t="s">
        <v>220</v>
      </c>
      <c r="C30" s="34" t="s">
        <v>1</v>
      </c>
      <c r="D30" s="35" t="s">
        <v>150</v>
      </c>
      <c r="E30" s="35" t="s">
        <v>151</v>
      </c>
      <c r="F30" s="36">
        <f>=IF(D30="NOVA",7.5,IF(D30="FUP",5,0))</f>
        <v>7.5</v>
      </c>
      <c r="G30" s="34" t="s">
        <v>221</v>
      </c>
    </row>
    <row r="31" ht="18" customHeight="1" spans="1:7" x14ac:dyDescent="0.25">
      <c r="A31" s="37" t="s">
        <v>105</v>
      </c>
      <c r="B31" s="37" t="s">
        <v>1</v>
      </c>
      <c r="C31" s="37" t="s">
        <v>1</v>
      </c>
      <c r="D31" s="38" t="s">
        <v>167</v>
      </c>
      <c r="E31" s="38" t="s">
        <v>151</v>
      </c>
      <c r="F31" s="39">
        <f>=IF(D31="NOVA",7.5,IF(D31="FUP",5,0))</f>
        <v>5</v>
      </c>
      <c r="G31" s="37" t="s">
        <v>1</v>
      </c>
    </row>
    <row r="32" ht="18" customHeight="1" spans="1:7" x14ac:dyDescent="0.25">
      <c r="A32" s="34" t="s">
        <v>105</v>
      </c>
      <c r="B32" s="34" t="s">
        <v>222</v>
      </c>
      <c r="C32" s="34" t="s">
        <v>1</v>
      </c>
      <c r="D32" s="35" t="s">
        <v>150</v>
      </c>
      <c r="E32" s="35" t="s">
        <v>151</v>
      </c>
      <c r="F32" s="36">
        <f>=IF(D32="NOVA",7.5,IF(D32="FUP",5,0))</f>
        <v>7.5</v>
      </c>
      <c r="G32" s="34" t="s">
        <v>223</v>
      </c>
    </row>
    <row r="33" ht="18" customHeight="1" spans="1:7" x14ac:dyDescent="0.25">
      <c r="A33" s="37" t="s">
        <v>56</v>
      </c>
      <c r="B33" s="37" t="s">
        <v>218</v>
      </c>
      <c r="C33" s="37" t="s">
        <v>1</v>
      </c>
      <c r="D33" s="38" t="s">
        <v>167</v>
      </c>
      <c r="E33" s="38" t="s">
        <v>151</v>
      </c>
      <c r="F33" s="39">
        <f>=IF(D33="NOVA",7.5,IF(D33="FUP",5,0))</f>
        <v>5</v>
      </c>
      <c r="G33" s="37" t="s">
        <v>219</v>
      </c>
    </row>
    <row r="34" ht="18" customHeight="1" spans="1:7" x14ac:dyDescent="0.25">
      <c r="A34" s="34" t="s">
        <v>56</v>
      </c>
      <c r="B34" s="34" t="s">
        <v>94</v>
      </c>
      <c r="C34" s="34" t="s">
        <v>1</v>
      </c>
      <c r="D34" s="35" t="s">
        <v>150</v>
      </c>
      <c r="E34" s="35" t="s">
        <v>151</v>
      </c>
      <c r="F34" s="36">
        <f>=IF(D34="NOVA",7.5,IF(D34="FUP",5,0))</f>
        <v>7.5</v>
      </c>
      <c r="G34" s="34" t="s">
        <v>96</v>
      </c>
    </row>
    <row r="35" ht="18" customHeight="1" spans="1:7" x14ac:dyDescent="0.25">
      <c r="A35" s="34" t="s">
        <v>56</v>
      </c>
      <c r="B35" s="34" t="s">
        <v>224</v>
      </c>
      <c r="C35" s="34" t="s">
        <v>1</v>
      </c>
      <c r="D35" s="35" t="s">
        <v>150</v>
      </c>
      <c r="E35" s="35" t="s">
        <v>151</v>
      </c>
      <c r="F35" s="36">
        <f>=IF(D35="NOVA",7.5,IF(D35="FUP",5,0))</f>
        <v>7.5</v>
      </c>
      <c r="G35" s="34" t="s">
        <v>225</v>
      </c>
    </row>
    <row r="36" ht="18" customHeight="1" spans="1:7" x14ac:dyDescent="0.25">
      <c r="A36" s="34" t="s">
        <v>56</v>
      </c>
      <c r="B36" s="34" t="s">
        <v>226</v>
      </c>
      <c r="C36" s="34" t="s">
        <v>1</v>
      </c>
      <c r="D36" s="35" t="s">
        <v>150</v>
      </c>
      <c r="E36" s="35" t="s">
        <v>151</v>
      </c>
      <c r="F36" s="36">
        <f>=IF(D36="NOVA",7.5,IF(D36="FUP",5,0))</f>
        <v>7.5</v>
      </c>
      <c r="G36" s="34" t="s">
        <v>227</v>
      </c>
    </row>
    <row r="37" ht="18" customHeight="1" spans="1:7" x14ac:dyDescent="0.25">
      <c r="A37" s="37" t="s">
        <v>90</v>
      </c>
      <c r="B37" s="37" t="s">
        <v>228</v>
      </c>
      <c r="C37" s="37" t="s">
        <v>1</v>
      </c>
      <c r="D37" s="38" t="s">
        <v>167</v>
      </c>
      <c r="E37" s="38" t="s">
        <v>151</v>
      </c>
      <c r="F37" s="39">
        <f>=IF(D37="NOVA",7.5,IF(D37="FUP",5,0))</f>
        <v>5</v>
      </c>
      <c r="G37" s="37" t="s">
        <v>229</v>
      </c>
    </row>
    <row r="38" ht="18" customHeight="1" spans="1:7" x14ac:dyDescent="0.25">
      <c r="A38" s="37" t="s">
        <v>90</v>
      </c>
      <c r="B38" s="37" t="s">
        <v>220</v>
      </c>
      <c r="C38" s="37" t="s">
        <v>1</v>
      </c>
      <c r="D38" s="38" t="s">
        <v>167</v>
      </c>
      <c r="E38" s="38" t="s">
        <v>151</v>
      </c>
      <c r="F38" s="39">
        <f>=IF(D38="NOVA",7.5,IF(D38="FUP",5,0))</f>
        <v>5</v>
      </c>
      <c r="G38" s="37" t="s">
        <v>221</v>
      </c>
    </row>
    <row r="39" ht="18" customHeight="1" spans="1:7" x14ac:dyDescent="0.25">
      <c r="A39" s="34" t="s">
        <v>90</v>
      </c>
      <c r="B39" s="34" t="s">
        <v>230</v>
      </c>
      <c r="C39" s="34" t="s">
        <v>1</v>
      </c>
      <c r="D39" s="35" t="s">
        <v>150</v>
      </c>
      <c r="E39" s="35" t="s">
        <v>151</v>
      </c>
      <c r="F39" s="36">
        <f>=IF(D39="NOVA",7.5,IF(D39="FUP",5,0))</f>
        <v>7.5</v>
      </c>
      <c r="G39" s="34" t="s">
        <v>231</v>
      </c>
    </row>
    <row r="41" spans="1:6" x14ac:dyDescent="0.25">
      <c r="A41" t="s">
        <v>1</v>
      </c>
      <c r="B41" s="8" t="s">
        <v>175</v>
      </c>
      <c r="C41" t="s">
        <v>1</v>
      </c>
      <c r="D41" s="40" t="s">
        <v>232</v>
      </c>
      <c r="E41" t="s">
        <v>1</v>
      </c>
      <c r="F41" s="7">
        <f>=SUM(F5:F40)</f>
        <v>242.5</v>
      </c>
    </row>
  </sheetData>
  <mergeCells count="1">
    <mergeCell ref="A1:G1"/>
  </mergeCells>
  <dataValidations count="2">
    <dataValidation type="list" sqref="D10:D39">
      <formula1>"NOVA,FUP"</formula1>
    </dataValidation>
    <dataValidation type="list" sqref="D5:D39">
      <formula1>"NOVA,FUP"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2" t="s">
        <v>233</v>
      </c>
      <c r="B1" s="32"/>
      <c r="C1" s="32"/>
      <c r="D1" s="32"/>
      <c r="E1" s="32"/>
      <c r="F1" s="32"/>
      <c r="G1" s="32"/>
    </row>
    <row r="3" ht="22" customHeight="1" spans="1:7" x14ac:dyDescent="0.25">
      <c r="A3" s="3" t="s">
        <v>144</v>
      </c>
      <c r="B3" s="3" t="s">
        <v>45</v>
      </c>
      <c r="C3" s="3" t="s">
        <v>145</v>
      </c>
      <c r="D3" s="3" t="s">
        <v>146</v>
      </c>
      <c r="E3" s="3" t="s">
        <v>147</v>
      </c>
      <c r="F3" s="3" t="s">
        <v>47</v>
      </c>
      <c r="G3" s="3" t="s">
        <v>48</v>
      </c>
    </row>
    <row r="4" ht="14" customHeight="1" spans="1:2" x14ac:dyDescent="0.25">
      <c r="A4" t="s">
        <v>1</v>
      </c>
      <c r="B4" s="33" t="s">
        <v>148</v>
      </c>
    </row>
    <row r="5" ht="18" customHeight="1" spans="1:7" x14ac:dyDescent="0.25">
      <c r="A5" s="34" t="s">
        <v>134</v>
      </c>
      <c r="B5" s="34" t="s">
        <v>234</v>
      </c>
      <c r="C5" s="34" t="s">
        <v>1</v>
      </c>
      <c r="D5" s="35" t="s">
        <v>150</v>
      </c>
      <c r="E5" s="35" t="s">
        <v>151</v>
      </c>
      <c r="F5" s="36">
        <f>=IF(D5="NOVA",7.5,IF(D5="FUP",5,0))</f>
        <v>7.5</v>
      </c>
      <c r="G5" s="34" t="s">
        <v>235</v>
      </c>
    </row>
    <row r="6" ht="18" customHeight="1" spans="1:7" x14ac:dyDescent="0.25">
      <c r="A6" s="34" t="s">
        <v>134</v>
      </c>
      <c r="B6" s="34" t="s">
        <v>236</v>
      </c>
      <c r="C6" s="34" t="s">
        <v>1</v>
      </c>
      <c r="D6" s="35" t="s">
        <v>150</v>
      </c>
      <c r="E6" s="35" t="s">
        <v>151</v>
      </c>
      <c r="F6" s="36">
        <f>=IF(D6="NOVA",7.5,IF(D6="FUP",5,0))</f>
        <v>7.5</v>
      </c>
      <c r="G6" s="34" t="s">
        <v>237</v>
      </c>
    </row>
    <row r="7" ht="18" customHeight="1" spans="1:7" x14ac:dyDescent="0.25">
      <c r="A7" s="34" t="s">
        <v>84</v>
      </c>
      <c r="B7" s="34" t="s">
        <v>238</v>
      </c>
      <c r="C7" s="34" t="s">
        <v>1</v>
      </c>
      <c r="D7" s="35" t="s">
        <v>150</v>
      </c>
      <c r="E7" s="35" t="s">
        <v>151</v>
      </c>
      <c r="F7" s="36">
        <f>=IF(D7="NOVA",7.5,IF(D7="FUP",5,0))</f>
        <v>7.5</v>
      </c>
      <c r="G7" s="34" t="s">
        <v>239</v>
      </c>
    </row>
    <row r="8" ht="18" customHeight="1" spans="1:7" x14ac:dyDescent="0.25">
      <c r="A8" s="34" t="s">
        <v>84</v>
      </c>
      <c r="B8" s="34" t="s">
        <v>240</v>
      </c>
      <c r="C8" s="34" t="s">
        <v>1</v>
      </c>
      <c r="D8" s="35" t="s">
        <v>150</v>
      </c>
      <c r="E8" s="35" t="s">
        <v>151</v>
      </c>
      <c r="F8" s="36">
        <f>=IF(D8="NOVA",7.5,IF(D8="FUP",5,0))</f>
        <v>7.5</v>
      </c>
      <c r="G8" s="34" t="s">
        <v>241</v>
      </c>
    </row>
    <row r="9" ht="18" customHeight="1" spans="1:7" x14ac:dyDescent="0.25">
      <c r="A9" s="34" t="s">
        <v>84</v>
      </c>
      <c r="B9" s="34" t="s">
        <v>242</v>
      </c>
      <c r="C9" s="34" t="s">
        <v>1</v>
      </c>
      <c r="D9" s="35" t="s">
        <v>150</v>
      </c>
      <c r="E9" s="35" t="s">
        <v>151</v>
      </c>
      <c r="F9" s="36">
        <f>=IF(D9="NOVA",7.5,IF(D9="FUP",5,0))</f>
        <v>7.5</v>
      </c>
      <c r="G9" s="34" t="s">
        <v>243</v>
      </c>
    </row>
    <row r="10" ht="18" customHeight="1" spans="1:7" x14ac:dyDescent="0.25">
      <c r="A10" s="37" t="s">
        <v>126</v>
      </c>
      <c r="B10" s="37" t="s">
        <v>238</v>
      </c>
      <c r="C10" s="37" t="s">
        <v>1</v>
      </c>
      <c r="D10" s="38" t="s">
        <v>167</v>
      </c>
      <c r="E10" s="38" t="s">
        <v>151</v>
      </c>
      <c r="F10" s="39">
        <f>=IF(D10="NOVA",7.5,IF(D10="FUP",5,0))</f>
        <v>5</v>
      </c>
      <c r="G10" s="37" t="s">
        <v>239</v>
      </c>
    </row>
    <row r="11" ht="18" customHeight="1" spans="1:7" x14ac:dyDescent="0.25">
      <c r="A11" s="34" t="s">
        <v>80</v>
      </c>
      <c r="B11" s="34" t="s">
        <v>244</v>
      </c>
      <c r="C11" s="34" t="s">
        <v>1</v>
      </c>
      <c r="D11" s="35" t="s">
        <v>150</v>
      </c>
      <c r="E11" s="35" t="s">
        <v>151</v>
      </c>
      <c r="F11" s="36">
        <f>=IF(D11="NOVA",7.5,IF(D11="FUP",5,0))</f>
        <v>7.5</v>
      </c>
      <c r="G11" s="34" t="s">
        <v>245</v>
      </c>
    </row>
    <row r="12" ht="18" customHeight="1" spans="1:7" x14ac:dyDescent="0.25">
      <c r="A12" s="34" t="s">
        <v>80</v>
      </c>
      <c r="B12" s="34" t="s">
        <v>246</v>
      </c>
      <c r="C12" s="34" t="s">
        <v>1</v>
      </c>
      <c r="D12" s="35" t="s">
        <v>150</v>
      </c>
      <c r="E12" s="35" t="s">
        <v>151</v>
      </c>
      <c r="F12" s="36">
        <f>=IF(D12="NOVA",7.5,IF(D12="FUP",5,0))</f>
        <v>7.5</v>
      </c>
      <c r="G12" s="34" t="s">
        <v>247</v>
      </c>
    </row>
    <row r="13" ht="18" customHeight="1" spans="1:7" x14ac:dyDescent="0.25">
      <c r="A13" s="34" t="s">
        <v>80</v>
      </c>
      <c r="B13" s="34" t="s">
        <v>248</v>
      </c>
      <c r="C13" s="34" t="s">
        <v>1</v>
      </c>
      <c r="D13" s="35" t="s">
        <v>150</v>
      </c>
      <c r="E13" s="35" t="s">
        <v>151</v>
      </c>
      <c r="F13" s="36">
        <f>=IF(D13="NOVA",7.5,IF(D13="FUP",5,0))</f>
        <v>7.5</v>
      </c>
      <c r="G13" s="34" t="s">
        <v>249</v>
      </c>
    </row>
    <row r="14" ht="18" customHeight="1" spans="1:7" x14ac:dyDescent="0.25">
      <c r="A14" s="34" t="s">
        <v>131</v>
      </c>
      <c r="B14" s="34" t="s">
        <v>250</v>
      </c>
      <c r="C14" s="34" t="s">
        <v>1</v>
      </c>
      <c r="D14" s="35" t="s">
        <v>150</v>
      </c>
      <c r="E14" s="35" t="s">
        <v>151</v>
      </c>
      <c r="F14" s="36">
        <f>=IF(D14="NOVA",7.5,IF(D14="FUP",5,0))</f>
        <v>7.5</v>
      </c>
      <c r="G14" s="34" t="s">
        <v>251</v>
      </c>
    </row>
    <row r="15" ht="18" customHeight="1" spans="1:7" x14ac:dyDescent="0.25">
      <c r="A15" s="34" t="s">
        <v>131</v>
      </c>
      <c r="B15" s="34" t="s">
        <v>252</v>
      </c>
      <c r="C15" s="34" t="s">
        <v>1</v>
      </c>
      <c r="D15" s="35" t="s">
        <v>150</v>
      </c>
      <c r="E15" s="35" t="s">
        <v>151</v>
      </c>
      <c r="F15" s="36">
        <f>=IF(D15="NOVA",7.5,IF(D15="FUP",5,0))</f>
        <v>7.5</v>
      </c>
      <c r="G15" s="34" t="s">
        <v>253</v>
      </c>
    </row>
    <row r="16" ht="18" customHeight="1" spans="1:7" x14ac:dyDescent="0.25">
      <c r="A16" s="34" t="s">
        <v>75</v>
      </c>
      <c r="B16" s="34" t="s">
        <v>254</v>
      </c>
      <c r="C16" s="34" t="s">
        <v>1</v>
      </c>
      <c r="D16" s="35" t="s">
        <v>150</v>
      </c>
      <c r="E16" s="35" t="s">
        <v>151</v>
      </c>
      <c r="F16" s="36">
        <f>=IF(D16="NOVA",7.5,IF(D16="FUP",5,0))</f>
        <v>7.5</v>
      </c>
      <c r="G16" s="34" t="s">
        <v>255</v>
      </c>
    </row>
    <row r="17" ht="18" customHeight="1" spans="1:7" x14ac:dyDescent="0.25">
      <c r="A17" s="34" t="s">
        <v>75</v>
      </c>
      <c r="B17" s="34" t="s">
        <v>100</v>
      </c>
      <c r="C17" s="34" t="s">
        <v>1</v>
      </c>
      <c r="D17" s="35" t="s">
        <v>150</v>
      </c>
      <c r="E17" s="35" t="s">
        <v>151</v>
      </c>
      <c r="F17" s="36">
        <f>=IF(D17="NOVA",7.5,IF(D17="FUP",5,0))</f>
        <v>7.5</v>
      </c>
      <c r="G17" s="34" t="s">
        <v>101</v>
      </c>
    </row>
    <row r="18" ht="18" customHeight="1" spans="1:7" x14ac:dyDescent="0.25">
      <c r="A18" s="34" t="s">
        <v>49</v>
      </c>
      <c r="B18" s="34" t="s">
        <v>256</v>
      </c>
      <c r="C18" s="34" t="s">
        <v>1</v>
      </c>
      <c r="D18" s="35" t="s">
        <v>150</v>
      </c>
      <c r="E18" s="35" t="s">
        <v>151</v>
      </c>
      <c r="F18" s="36">
        <f>=IF(D18="NOVA",7.5,IF(D18="FUP",5,0))</f>
        <v>7.5</v>
      </c>
      <c r="G18" s="34" t="s">
        <v>257</v>
      </c>
    </row>
    <row r="19" ht="18" customHeight="1" spans="1:7" x14ac:dyDescent="0.25">
      <c r="A19" s="34" t="s">
        <v>53</v>
      </c>
      <c r="B19" s="34" t="s">
        <v>258</v>
      </c>
      <c r="C19" s="34" t="s">
        <v>1</v>
      </c>
      <c r="D19" s="35" t="s">
        <v>150</v>
      </c>
      <c r="E19" s="35" t="s">
        <v>151</v>
      </c>
      <c r="F19" s="36">
        <f>=IF(D19="NOVA",7.5,IF(D19="FUP",5,0))</f>
        <v>7.5</v>
      </c>
      <c r="G19" s="34" t="s">
        <v>259</v>
      </c>
    </row>
    <row r="20" ht="18" customHeight="1" spans="1:7" x14ac:dyDescent="0.25">
      <c r="A20" s="34" t="s">
        <v>260</v>
      </c>
      <c r="B20" s="34" t="s">
        <v>261</v>
      </c>
      <c r="C20" s="34" t="s">
        <v>1</v>
      </c>
      <c r="D20" s="35" t="s">
        <v>150</v>
      </c>
      <c r="E20" s="35" t="s">
        <v>151</v>
      </c>
      <c r="F20" s="36">
        <f>=IF(D20="NOVA",7.5,IF(D20="FUP",5,0))</f>
        <v>7.5</v>
      </c>
      <c r="G20" s="34" t="s">
        <v>262</v>
      </c>
    </row>
    <row r="21" ht="18" customHeight="1" spans="1:7" x14ac:dyDescent="0.25">
      <c r="A21" s="34" t="s">
        <v>121</v>
      </c>
      <c r="B21" s="34" t="s">
        <v>263</v>
      </c>
      <c r="C21" s="34" t="s">
        <v>1</v>
      </c>
      <c r="D21" s="35" t="s">
        <v>150</v>
      </c>
      <c r="E21" s="35" t="s">
        <v>151</v>
      </c>
      <c r="F21" s="36">
        <f>=IF(D21="NOVA",7.5,IF(D21="FUP",5,0))</f>
        <v>7.5</v>
      </c>
      <c r="G21" s="34" t="s">
        <v>264</v>
      </c>
    </row>
    <row r="22" ht="18" customHeight="1" spans="1:7" x14ac:dyDescent="0.25">
      <c r="A22" s="34" t="s">
        <v>59</v>
      </c>
      <c r="B22" s="34" t="s">
        <v>265</v>
      </c>
      <c r="C22" s="34" t="s">
        <v>1</v>
      </c>
      <c r="D22" s="35" t="s">
        <v>150</v>
      </c>
      <c r="E22" s="35" t="s">
        <v>151</v>
      </c>
      <c r="F22" s="36">
        <f>=IF(D22="NOVA",7.5,IF(D22="FUP",5,0))</f>
        <v>7.5</v>
      </c>
      <c r="G22" s="34" t="s">
        <v>266</v>
      </c>
    </row>
    <row r="23" ht="18" customHeight="1" spans="1:7" x14ac:dyDescent="0.25">
      <c r="A23" s="34" t="s">
        <v>105</v>
      </c>
      <c r="B23" s="34" t="s">
        <v>267</v>
      </c>
      <c r="C23" s="34" t="s">
        <v>1</v>
      </c>
      <c r="D23" s="35" t="s">
        <v>150</v>
      </c>
      <c r="E23" s="35" t="s">
        <v>151</v>
      </c>
      <c r="F23" s="36">
        <f>=IF(D23="NOVA",7.5,IF(D23="FUP",5,0))</f>
        <v>7.5</v>
      </c>
      <c r="G23" s="34" t="s">
        <v>268</v>
      </c>
    </row>
    <row r="24" ht="18" customHeight="1" spans="1:7" x14ac:dyDescent="0.25">
      <c r="A24" s="34" t="s">
        <v>56</v>
      </c>
      <c r="B24" s="34" t="s">
        <v>269</v>
      </c>
      <c r="C24" s="34" t="s">
        <v>1</v>
      </c>
      <c r="D24" s="35" t="s">
        <v>150</v>
      </c>
      <c r="E24" s="35" t="s">
        <v>151</v>
      </c>
      <c r="F24" s="36">
        <f>=IF(D24="NOVA",7.5,IF(D24="FUP",5,0))</f>
        <v>7.5</v>
      </c>
      <c r="G24" s="34" t="s">
        <v>270</v>
      </c>
    </row>
    <row r="25" ht="18" customHeight="1" spans="1:7" x14ac:dyDescent="0.25">
      <c r="A25" s="34" t="s">
        <v>90</v>
      </c>
      <c r="B25" s="34" t="s">
        <v>271</v>
      </c>
      <c r="C25" s="34" t="s">
        <v>1</v>
      </c>
      <c r="D25" s="35" t="s">
        <v>150</v>
      </c>
      <c r="E25" s="35" t="s">
        <v>151</v>
      </c>
      <c r="F25" s="36">
        <f>=IF(D25="NOVA",7.5,IF(D25="FUP",5,0))</f>
        <v>7.5</v>
      </c>
      <c r="G25" s="34" t="s">
        <v>272</v>
      </c>
    </row>
    <row r="26" ht="18" customHeight="1" spans="1:7" x14ac:dyDescent="0.25">
      <c r="A26" s="34" t="s">
        <v>90</v>
      </c>
      <c r="B26" s="34" t="s">
        <v>273</v>
      </c>
      <c r="C26" s="34" t="s">
        <v>1</v>
      </c>
      <c r="D26" s="35" t="s">
        <v>150</v>
      </c>
      <c r="E26" s="35" t="s">
        <v>151</v>
      </c>
      <c r="F26" s="36">
        <f>=IF(D26="NOVA",7.5,IF(D26="FUP",5,0))</f>
        <v>7.5</v>
      </c>
      <c r="G26" s="34" t="s">
        <v>274</v>
      </c>
    </row>
    <row r="27" ht="18" customHeight="1" spans="1:7" x14ac:dyDescent="0.25">
      <c r="A27" s="37" t="s">
        <v>90</v>
      </c>
      <c r="B27" s="37" t="s">
        <v>100</v>
      </c>
      <c r="C27" s="37" t="s">
        <v>1</v>
      </c>
      <c r="D27" s="38" t="s">
        <v>167</v>
      </c>
      <c r="E27" s="38" t="s">
        <v>151</v>
      </c>
      <c r="F27" s="39">
        <f>=IF(D27="NOVA",7.5,IF(D27="FUP",5,0))</f>
        <v>5</v>
      </c>
      <c r="G27" s="37" t="s">
        <v>101</v>
      </c>
    </row>
    <row r="28" ht="18" customHeight="1" spans="1:7" x14ac:dyDescent="0.25">
      <c r="A28" s="34" t="s">
        <v>90</v>
      </c>
      <c r="B28" s="34" t="s">
        <v>275</v>
      </c>
      <c r="C28" s="34" t="s">
        <v>1</v>
      </c>
      <c r="D28" s="35" t="s">
        <v>150</v>
      </c>
      <c r="E28" s="35" t="s">
        <v>151</v>
      </c>
      <c r="F28" s="36">
        <f>=IF(D28="NOVA",7.5,IF(D28="FUP",5,0))</f>
        <v>7.5</v>
      </c>
      <c r="G28" s="34" t="s">
        <v>276</v>
      </c>
    </row>
    <row r="30" spans="1:6" x14ac:dyDescent="0.25">
      <c r="A30" t="s">
        <v>1</v>
      </c>
      <c r="B30" s="8" t="s">
        <v>175</v>
      </c>
      <c r="C30" t="s">
        <v>1</v>
      </c>
      <c r="D30" s="40" t="s">
        <v>277</v>
      </c>
      <c r="E30" t="s">
        <v>1</v>
      </c>
      <c r="F30" s="7">
        <f>=SUM(F5:F29)</f>
        <v>175</v>
      </c>
    </row>
  </sheetData>
  <mergeCells count="1">
    <mergeCell ref="A1:G1"/>
  </mergeCells>
  <dataValidations count="2">
    <dataValidation type="list" sqref="D10:D28">
      <formula1>"NOVA,FUP"</formula1>
    </dataValidation>
    <dataValidation type="list" sqref="D5:D28">
      <formula1>"NOVA,FUP"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2" t="s">
        <v>278</v>
      </c>
      <c r="B1" s="32"/>
      <c r="C1" s="32"/>
      <c r="D1" s="32"/>
      <c r="E1" s="32"/>
      <c r="F1" s="32"/>
      <c r="G1" s="32"/>
    </row>
    <row r="3" ht="22" customHeight="1" spans="1:7" x14ac:dyDescent="0.25">
      <c r="A3" s="3" t="s">
        <v>144</v>
      </c>
      <c r="B3" s="3" t="s">
        <v>45</v>
      </c>
      <c r="C3" s="3" t="s">
        <v>145</v>
      </c>
      <c r="D3" s="3" t="s">
        <v>146</v>
      </c>
      <c r="E3" s="3" t="s">
        <v>147</v>
      </c>
      <c r="F3" s="3" t="s">
        <v>47</v>
      </c>
      <c r="G3" s="3" t="s">
        <v>48</v>
      </c>
    </row>
    <row r="4" ht="14" customHeight="1" spans="1:2" x14ac:dyDescent="0.25">
      <c r="A4" t="s">
        <v>1</v>
      </c>
      <c r="B4" s="33" t="s">
        <v>148</v>
      </c>
    </row>
    <row r="5" ht="18" customHeight="1" spans="1:7" x14ac:dyDescent="0.25">
      <c r="A5" s="34" t="s">
        <v>84</v>
      </c>
      <c r="B5" s="34" t="s">
        <v>279</v>
      </c>
      <c r="C5" s="34" t="s">
        <v>1</v>
      </c>
      <c r="D5" s="35" t="s">
        <v>150</v>
      </c>
      <c r="E5" s="35" t="s">
        <v>151</v>
      </c>
      <c r="F5" s="36">
        <f>=IF(D5="NOVA",7.5,IF(D5="FUP",5,0))</f>
        <v>7.5</v>
      </c>
      <c r="G5" s="34" t="s">
        <v>280</v>
      </c>
    </row>
    <row r="6" ht="18" customHeight="1" spans="1:7" x14ac:dyDescent="0.25">
      <c r="A6" s="34" t="s">
        <v>84</v>
      </c>
      <c r="B6" s="34" t="s">
        <v>281</v>
      </c>
      <c r="C6" s="34" t="s">
        <v>1</v>
      </c>
      <c r="D6" s="35" t="s">
        <v>150</v>
      </c>
      <c r="E6" s="35" t="s">
        <v>151</v>
      </c>
      <c r="F6" s="36">
        <f>=IF(D6="NOVA",7.5,IF(D6="FUP",5,0))</f>
        <v>7.5</v>
      </c>
      <c r="G6" s="34" t="s">
        <v>282</v>
      </c>
    </row>
    <row r="7" ht="18" customHeight="1" spans="1:7" x14ac:dyDescent="0.25">
      <c r="A7" s="34" t="s">
        <v>126</v>
      </c>
      <c r="B7" s="34" t="s">
        <v>283</v>
      </c>
      <c r="C7" s="34" t="s">
        <v>1</v>
      </c>
      <c r="D7" s="35" t="s">
        <v>150</v>
      </c>
      <c r="E7" s="35" t="s">
        <v>151</v>
      </c>
      <c r="F7" s="36">
        <f>=IF(D7="NOVA",7.5,IF(D7="FUP",5,0))</f>
        <v>7.5</v>
      </c>
      <c r="G7" s="34" t="s">
        <v>284</v>
      </c>
    </row>
    <row r="8" ht="18" customHeight="1" spans="1:7" x14ac:dyDescent="0.25">
      <c r="A8" s="34" t="s">
        <v>126</v>
      </c>
      <c r="B8" s="34" t="s">
        <v>285</v>
      </c>
      <c r="C8" s="34" t="s">
        <v>1</v>
      </c>
      <c r="D8" s="35" t="s">
        <v>150</v>
      </c>
      <c r="E8" s="35" t="s">
        <v>151</v>
      </c>
      <c r="F8" s="36">
        <f>=IF(D8="NOVA",7.5,IF(D8="FUP",5,0))</f>
        <v>7.5</v>
      </c>
      <c r="G8" s="34" t="s">
        <v>286</v>
      </c>
    </row>
    <row r="9" ht="18" customHeight="1" spans="1:7" x14ac:dyDescent="0.25">
      <c r="A9" s="34" t="s">
        <v>131</v>
      </c>
      <c r="B9" s="34" t="s">
        <v>287</v>
      </c>
      <c r="C9" s="34" t="s">
        <v>1</v>
      </c>
      <c r="D9" s="35" t="s">
        <v>150</v>
      </c>
      <c r="E9" s="35" t="s">
        <v>151</v>
      </c>
      <c r="F9" s="36">
        <f>=IF(D9="NOVA",7.5,IF(D9="FUP",5,0))</f>
        <v>7.5</v>
      </c>
      <c r="G9" s="34" t="s">
        <v>288</v>
      </c>
    </row>
    <row r="10" ht="18" customHeight="1" spans="1:7" x14ac:dyDescent="0.25">
      <c r="A10" s="34" t="s">
        <v>75</v>
      </c>
      <c r="B10" s="34" t="s">
        <v>289</v>
      </c>
      <c r="C10" s="34" t="s">
        <v>1</v>
      </c>
      <c r="D10" s="35" t="s">
        <v>150</v>
      </c>
      <c r="E10" s="35" t="s">
        <v>151</v>
      </c>
      <c r="F10" s="36">
        <f>=IF(D10="NOVA",7.5,IF(D10="FUP",5,0))</f>
        <v>7.5</v>
      </c>
      <c r="G10" s="34" t="s">
        <v>290</v>
      </c>
    </row>
    <row r="11" ht="18" customHeight="1" spans="1:7" x14ac:dyDescent="0.25">
      <c r="A11" s="34" t="s">
        <v>71</v>
      </c>
      <c r="B11" s="34" t="s">
        <v>291</v>
      </c>
      <c r="C11" s="34" t="s">
        <v>1</v>
      </c>
      <c r="D11" s="35" t="s">
        <v>150</v>
      </c>
      <c r="E11" s="35" t="s">
        <v>151</v>
      </c>
      <c r="F11" s="36">
        <f>=IF(D11="NOVA",7.5,IF(D11="FUP",5,0))</f>
        <v>7.5</v>
      </c>
      <c r="G11" s="34" t="s">
        <v>292</v>
      </c>
    </row>
    <row r="12" ht="18" customHeight="1" spans="1:7" x14ac:dyDescent="0.25">
      <c r="A12" s="34" t="s">
        <v>71</v>
      </c>
      <c r="B12" s="34" t="s">
        <v>293</v>
      </c>
      <c r="C12" s="34" t="s">
        <v>1</v>
      </c>
      <c r="D12" s="35" t="s">
        <v>150</v>
      </c>
      <c r="E12" s="35" t="s">
        <v>151</v>
      </c>
      <c r="F12" s="36">
        <f>=IF(D12="NOVA",7.5,IF(D12="FUP",5,0))</f>
        <v>7.5</v>
      </c>
      <c r="G12" s="34" t="s">
        <v>294</v>
      </c>
    </row>
    <row r="13" ht="18" customHeight="1" spans="1:7" x14ac:dyDescent="0.25">
      <c r="A13" s="34" t="s">
        <v>164</v>
      </c>
      <c r="B13" s="34" t="s">
        <v>295</v>
      </c>
      <c r="C13" s="34" t="s">
        <v>1</v>
      </c>
      <c r="D13" s="35" t="s">
        <v>150</v>
      </c>
      <c r="E13" s="35" t="s">
        <v>151</v>
      </c>
      <c r="F13" s="36">
        <f>=IF(D13="NOVA",7.5,IF(D13="FUP",5,0))</f>
        <v>7.5</v>
      </c>
      <c r="G13" s="34" t="s">
        <v>296</v>
      </c>
    </row>
    <row r="14" ht="18" customHeight="1" spans="1:7" x14ac:dyDescent="0.25">
      <c r="A14" s="34" t="s">
        <v>70</v>
      </c>
      <c r="B14" s="34" t="s">
        <v>297</v>
      </c>
      <c r="C14" s="34" t="s">
        <v>1</v>
      </c>
      <c r="D14" s="35" t="s">
        <v>150</v>
      </c>
      <c r="E14" s="35" t="s">
        <v>151</v>
      </c>
      <c r="F14" s="36">
        <f>=IF(D14="NOVA",7.5,IF(D14="FUP",5,0))</f>
        <v>7.5</v>
      </c>
      <c r="G14" s="34" t="s">
        <v>298</v>
      </c>
    </row>
    <row r="15" ht="18" customHeight="1" spans="1:7" x14ac:dyDescent="0.25">
      <c r="A15" s="34" t="s">
        <v>66</v>
      </c>
      <c r="B15" s="34" t="s">
        <v>299</v>
      </c>
      <c r="C15" s="34" t="s">
        <v>1</v>
      </c>
      <c r="D15" s="35" t="s">
        <v>150</v>
      </c>
      <c r="E15" s="35" t="s">
        <v>151</v>
      </c>
      <c r="F15" s="36">
        <f>=IF(D15="NOVA",7.5,IF(D15="FUP",5,0))</f>
        <v>7.5</v>
      </c>
      <c r="G15" s="34" t="s">
        <v>300</v>
      </c>
    </row>
    <row r="16" ht="18" customHeight="1" spans="1:7" x14ac:dyDescent="0.25">
      <c r="A16" s="34" t="s">
        <v>260</v>
      </c>
      <c r="B16" s="34" t="s">
        <v>301</v>
      </c>
      <c r="C16" s="34" t="s">
        <v>1</v>
      </c>
      <c r="D16" s="35" t="s">
        <v>150</v>
      </c>
      <c r="E16" s="35" t="s">
        <v>151</v>
      </c>
      <c r="F16" s="36">
        <f>=IF(D16="NOVA",7.5,IF(D16="FUP",5,0))</f>
        <v>7.5</v>
      </c>
      <c r="G16" s="34" t="s">
        <v>302</v>
      </c>
    </row>
    <row r="17" ht="18" customHeight="1" spans="1:7" x14ac:dyDescent="0.25">
      <c r="A17" s="34" t="s">
        <v>99</v>
      </c>
      <c r="B17" s="34" t="s">
        <v>303</v>
      </c>
      <c r="C17" s="34" t="s">
        <v>1</v>
      </c>
      <c r="D17" s="35" t="s">
        <v>150</v>
      </c>
      <c r="E17" s="35" t="s">
        <v>151</v>
      </c>
      <c r="F17" s="36">
        <f>=IF(D17="NOVA",7.5,IF(D17="FUP",5,0))</f>
        <v>7.5</v>
      </c>
      <c r="G17" s="34" t="s">
        <v>304</v>
      </c>
    </row>
    <row r="18" ht="18" customHeight="1" spans="1:7" x14ac:dyDescent="0.25">
      <c r="A18" s="34" t="s">
        <v>121</v>
      </c>
      <c r="B18" s="34" t="s">
        <v>305</v>
      </c>
      <c r="C18" s="34" t="s">
        <v>1</v>
      </c>
      <c r="D18" s="35" t="s">
        <v>150</v>
      </c>
      <c r="E18" s="35" t="s">
        <v>151</v>
      </c>
      <c r="F18" s="36">
        <f>=IF(D18="NOVA",7.5,IF(D18="FUP",5,0))</f>
        <v>7.5</v>
      </c>
      <c r="G18" s="34" t="s">
        <v>306</v>
      </c>
    </row>
    <row r="19" ht="18" customHeight="1" spans="1:7" x14ac:dyDescent="0.25">
      <c r="A19" s="34" t="s">
        <v>121</v>
      </c>
      <c r="B19" s="34" t="s">
        <v>307</v>
      </c>
      <c r="C19" s="34" t="s">
        <v>1</v>
      </c>
      <c r="D19" s="35" t="s">
        <v>150</v>
      </c>
      <c r="E19" s="35" t="s">
        <v>151</v>
      </c>
      <c r="F19" s="36">
        <f>=IF(D19="NOVA",7.5,IF(D19="FUP",5,0))</f>
        <v>7.5</v>
      </c>
      <c r="G19" s="34" t="s">
        <v>308</v>
      </c>
    </row>
    <row r="20" ht="18" customHeight="1" spans="1:7" x14ac:dyDescent="0.25">
      <c r="A20" s="37" t="s">
        <v>56</v>
      </c>
      <c r="B20" s="37" t="s">
        <v>289</v>
      </c>
      <c r="C20" s="37" t="s">
        <v>1</v>
      </c>
      <c r="D20" s="38" t="s">
        <v>167</v>
      </c>
      <c r="E20" s="38" t="s">
        <v>151</v>
      </c>
      <c r="F20" s="39">
        <f>=IF(D20="NOVA",7.5,IF(D20="FUP",5,0))</f>
        <v>5</v>
      </c>
      <c r="G20" s="37" t="s">
        <v>290</v>
      </c>
    </row>
    <row r="21" ht="18" customHeight="1" spans="1:7" x14ac:dyDescent="0.25">
      <c r="A21" s="34" t="s">
        <v>56</v>
      </c>
      <c r="B21" s="34" t="s">
        <v>309</v>
      </c>
      <c r="C21" s="34" t="s">
        <v>1</v>
      </c>
      <c r="D21" s="35" t="s">
        <v>150</v>
      </c>
      <c r="E21" s="35" t="s">
        <v>151</v>
      </c>
      <c r="F21" s="36">
        <f>=IF(D21="NOVA",7.5,IF(D21="FUP",5,0))</f>
        <v>7.5</v>
      </c>
      <c r="G21" s="34" t="s">
        <v>310</v>
      </c>
    </row>
    <row r="22" ht="18" customHeight="1" spans="1:7" x14ac:dyDescent="0.25">
      <c r="A22" s="34" t="s">
        <v>90</v>
      </c>
      <c r="B22" s="34" t="s">
        <v>311</v>
      </c>
      <c r="C22" s="34" t="s">
        <v>1</v>
      </c>
      <c r="D22" s="35" t="s">
        <v>150</v>
      </c>
      <c r="E22" s="35" t="s">
        <v>151</v>
      </c>
      <c r="F22" s="36">
        <f>=IF(D22="NOVA",7.5,IF(D22="FUP",5,0))</f>
        <v>7.5</v>
      </c>
      <c r="G22" s="34" t="s">
        <v>312</v>
      </c>
    </row>
    <row r="23" ht="18" customHeight="1" spans="1:7" x14ac:dyDescent="0.25">
      <c r="A23" s="34" t="s">
        <v>90</v>
      </c>
      <c r="B23" s="34" t="s">
        <v>313</v>
      </c>
      <c r="C23" s="34" t="s">
        <v>1</v>
      </c>
      <c r="D23" s="35" t="s">
        <v>150</v>
      </c>
      <c r="E23" s="35" t="s">
        <v>151</v>
      </c>
      <c r="F23" s="36">
        <f>=IF(D23="NOVA",7.5,IF(D23="FUP",5,0))</f>
        <v>7.5</v>
      </c>
      <c r="G23" s="34" t="s">
        <v>314</v>
      </c>
    </row>
    <row r="25" spans="1:6" x14ac:dyDescent="0.25">
      <c r="A25" t="s">
        <v>1</v>
      </c>
      <c r="B25" s="8" t="s">
        <v>175</v>
      </c>
      <c r="C25" t="s">
        <v>1</v>
      </c>
      <c r="D25" s="40" t="s">
        <v>315</v>
      </c>
      <c r="E25" t="s">
        <v>1</v>
      </c>
      <c r="F25" s="7">
        <f>=SUM(F5:F24)</f>
        <v>140</v>
      </c>
    </row>
  </sheetData>
  <mergeCells count="1">
    <mergeCell ref="A1:G1"/>
  </mergeCells>
  <dataValidations count="2">
    <dataValidation type="list" sqref="D10:D23">
      <formula1>"NOVA,FUP"</formula1>
    </dataValidation>
    <dataValidation type="list" sqref="D5:D23">
      <formula1>"NOVA,FUP"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2" t="s">
        <v>316</v>
      </c>
      <c r="B1" s="32"/>
      <c r="C1" s="32"/>
      <c r="D1" s="32"/>
      <c r="E1" s="32"/>
      <c r="F1" s="32"/>
      <c r="G1" s="32"/>
    </row>
    <row r="3" ht="22" customHeight="1" spans="1:7" x14ac:dyDescent="0.25">
      <c r="A3" s="3" t="s">
        <v>144</v>
      </c>
      <c r="B3" s="3" t="s">
        <v>45</v>
      </c>
      <c r="C3" s="3" t="s">
        <v>145</v>
      </c>
      <c r="D3" s="3" t="s">
        <v>146</v>
      </c>
      <c r="E3" s="3" t="s">
        <v>147</v>
      </c>
      <c r="F3" s="3" t="s">
        <v>47</v>
      </c>
      <c r="G3" s="3" t="s">
        <v>48</v>
      </c>
    </row>
    <row r="4" ht="14" customHeight="1" spans="1:2" x14ac:dyDescent="0.25">
      <c r="A4" t="s">
        <v>1</v>
      </c>
      <c r="B4" s="33" t="s">
        <v>148</v>
      </c>
    </row>
    <row r="5" ht="18" customHeight="1" spans="1:7" x14ac:dyDescent="0.25">
      <c r="A5" s="34" t="s">
        <v>84</v>
      </c>
      <c r="B5" s="34" t="s">
        <v>317</v>
      </c>
      <c r="C5" s="34" t="s">
        <v>1</v>
      </c>
      <c r="D5" s="35" t="s">
        <v>150</v>
      </c>
      <c r="E5" s="35" t="s">
        <v>151</v>
      </c>
      <c r="F5" s="36">
        <f>=IF(D5="NOVA",7.5,IF(D5="FUP",5,0))</f>
        <v>7.5</v>
      </c>
      <c r="G5" s="34" t="s">
        <v>318</v>
      </c>
    </row>
    <row r="6" ht="18" customHeight="1" spans="1:7" x14ac:dyDescent="0.25">
      <c r="A6" s="34" t="s">
        <v>126</v>
      </c>
      <c r="B6" s="34" t="s">
        <v>319</v>
      </c>
      <c r="C6" s="34" t="s">
        <v>1</v>
      </c>
      <c r="D6" s="35" t="s">
        <v>150</v>
      </c>
      <c r="E6" s="35" t="s">
        <v>151</v>
      </c>
      <c r="F6" s="36">
        <f>=IF(D6="NOVA",7.5,IF(D6="FUP",5,0))</f>
        <v>7.5</v>
      </c>
      <c r="G6" s="34" t="s">
        <v>320</v>
      </c>
    </row>
    <row r="7" ht="18" customHeight="1" spans="1:7" x14ac:dyDescent="0.25">
      <c r="A7" s="34" t="s">
        <v>75</v>
      </c>
      <c r="B7" s="34" t="s">
        <v>321</v>
      </c>
      <c r="C7" s="34" t="s">
        <v>1</v>
      </c>
      <c r="D7" s="35" t="s">
        <v>150</v>
      </c>
      <c r="E7" s="35" t="s">
        <v>151</v>
      </c>
      <c r="F7" s="36">
        <f>=IF(D7="NOVA",7.5,IF(D7="FUP",5,0))</f>
        <v>7.5</v>
      </c>
      <c r="G7" s="34" t="s">
        <v>322</v>
      </c>
    </row>
    <row r="8" ht="18" customHeight="1" spans="1:7" x14ac:dyDescent="0.25">
      <c r="A8" s="34" t="s">
        <v>75</v>
      </c>
      <c r="B8" s="34" t="s">
        <v>323</v>
      </c>
      <c r="C8" s="34" t="s">
        <v>1</v>
      </c>
      <c r="D8" s="35" t="s">
        <v>150</v>
      </c>
      <c r="E8" s="35" t="s">
        <v>151</v>
      </c>
      <c r="F8" s="36">
        <f>=IF(D8="NOVA",7.5,IF(D8="FUP",5,0))</f>
        <v>7.5</v>
      </c>
      <c r="G8" s="34" t="s">
        <v>324</v>
      </c>
    </row>
    <row r="9" ht="18" customHeight="1" spans="1:7" x14ac:dyDescent="0.25">
      <c r="A9" s="34" t="s">
        <v>111</v>
      </c>
      <c r="B9" s="34" t="s">
        <v>325</v>
      </c>
      <c r="C9" s="34" t="s">
        <v>1</v>
      </c>
      <c r="D9" s="35" t="s">
        <v>150</v>
      </c>
      <c r="E9" s="35" t="s">
        <v>151</v>
      </c>
      <c r="F9" s="36">
        <f>=IF(D9="NOVA",7.5,IF(D9="FUP",5,0))</f>
        <v>7.5</v>
      </c>
      <c r="G9" s="34" t="s">
        <v>326</v>
      </c>
    </row>
    <row r="10" ht="18" customHeight="1" spans="1:7" x14ac:dyDescent="0.25">
      <c r="A10" s="34" t="s">
        <v>111</v>
      </c>
      <c r="B10" s="34" t="s">
        <v>327</v>
      </c>
      <c r="C10" s="34" t="s">
        <v>1</v>
      </c>
      <c r="D10" s="35" t="s">
        <v>150</v>
      </c>
      <c r="E10" s="35" t="s">
        <v>151</v>
      </c>
      <c r="F10" s="36">
        <f>=IF(D10="NOVA",7.5,IF(D10="FUP",5,0))</f>
        <v>7.5</v>
      </c>
      <c r="G10" s="34" t="s">
        <v>328</v>
      </c>
    </row>
    <row r="11" ht="18" customHeight="1" spans="1:7" x14ac:dyDescent="0.25">
      <c r="A11" s="34" t="s">
        <v>111</v>
      </c>
      <c r="B11" s="34" t="s">
        <v>329</v>
      </c>
      <c r="C11" s="34" t="s">
        <v>1</v>
      </c>
      <c r="D11" s="35" t="s">
        <v>150</v>
      </c>
      <c r="E11" s="35" t="s">
        <v>151</v>
      </c>
      <c r="F11" s="36">
        <f>=IF(D11="NOVA",7.5,IF(D11="FUP",5,0))</f>
        <v>7.5</v>
      </c>
      <c r="G11" s="34" t="s">
        <v>330</v>
      </c>
    </row>
    <row r="12" ht="18" customHeight="1" spans="1:7" x14ac:dyDescent="0.25">
      <c r="A12" s="34" t="s">
        <v>99</v>
      </c>
      <c r="B12" s="34" t="s">
        <v>331</v>
      </c>
      <c r="C12" s="34" t="s">
        <v>1</v>
      </c>
      <c r="D12" s="35" t="s">
        <v>150</v>
      </c>
      <c r="E12" s="35" t="s">
        <v>151</v>
      </c>
      <c r="F12" s="36">
        <f>=IF(D12="NOVA",7.5,IF(D12="FUP",5,0))</f>
        <v>7.5</v>
      </c>
      <c r="G12" s="34" t="s">
        <v>332</v>
      </c>
    </row>
    <row r="13" ht="18" customHeight="1" spans="1:7" x14ac:dyDescent="0.25">
      <c r="A13" s="34" t="s">
        <v>56</v>
      </c>
      <c r="B13" s="34" t="s">
        <v>333</v>
      </c>
      <c r="C13" s="34" t="s">
        <v>1</v>
      </c>
      <c r="D13" s="35" t="s">
        <v>150</v>
      </c>
      <c r="E13" s="35" t="s">
        <v>151</v>
      </c>
      <c r="F13" s="36">
        <f>=IF(D13="NOVA",7.5,IF(D13="FUP",5,0))</f>
        <v>7.5</v>
      </c>
      <c r="G13" s="34" t="s">
        <v>334</v>
      </c>
    </row>
    <row r="15" spans="1:6" x14ac:dyDescent="0.25">
      <c r="A15" t="s">
        <v>1</v>
      </c>
      <c r="B15" s="8" t="s">
        <v>175</v>
      </c>
      <c r="C15" t="s">
        <v>1</v>
      </c>
      <c r="D15" s="40" t="s">
        <v>335</v>
      </c>
      <c r="E15" t="s">
        <v>1</v>
      </c>
      <c r="F15" s="7">
        <f>=SUM(F5:F14)</f>
        <v>67.5</v>
      </c>
    </row>
  </sheetData>
  <mergeCells count="1">
    <mergeCell ref="A1:G1"/>
  </mergeCells>
  <dataValidations count="2">
    <dataValidation type="list" sqref="D10:D13">
      <formula1>"NOVA,FUP"</formula1>
    </dataValidation>
    <dataValidation type="list" sqref="D5:D13">
      <formula1>"NOVA,FUP"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2" t="s">
        <v>336</v>
      </c>
      <c r="B1" s="32"/>
      <c r="C1" s="32"/>
      <c r="D1" s="32"/>
      <c r="E1" s="32"/>
      <c r="F1" s="32"/>
      <c r="G1" s="32"/>
    </row>
    <row r="3" ht="22" customHeight="1" spans="1:7" x14ac:dyDescent="0.25">
      <c r="A3" s="3" t="s">
        <v>144</v>
      </c>
      <c r="B3" s="3" t="s">
        <v>45</v>
      </c>
      <c r="C3" s="3" t="s">
        <v>145</v>
      </c>
      <c r="D3" s="3" t="s">
        <v>146</v>
      </c>
      <c r="E3" s="3" t="s">
        <v>147</v>
      </c>
      <c r="F3" s="3" t="s">
        <v>47</v>
      </c>
      <c r="G3" s="3" t="s">
        <v>48</v>
      </c>
    </row>
    <row r="4" ht="14" customHeight="1" spans="1:2" x14ac:dyDescent="0.25">
      <c r="A4" t="s">
        <v>1</v>
      </c>
      <c r="B4" s="33" t="s">
        <v>148</v>
      </c>
    </row>
    <row r="5" ht="18" customHeight="1" spans="1:7" x14ac:dyDescent="0.25">
      <c r="A5" s="34" t="s">
        <v>134</v>
      </c>
      <c r="B5" s="34" t="s">
        <v>337</v>
      </c>
      <c r="C5" s="34" t="s">
        <v>1</v>
      </c>
      <c r="D5" s="35" t="s">
        <v>150</v>
      </c>
      <c r="E5" s="35" t="s">
        <v>151</v>
      </c>
      <c r="F5" s="36">
        <f>=IF(D5="NOVA",7.5,IF(D5="FUP",5,0))</f>
        <v>7.5</v>
      </c>
      <c r="G5" s="34" t="s">
        <v>338</v>
      </c>
    </row>
    <row r="6" ht="18" customHeight="1" spans="1:7" x14ac:dyDescent="0.25">
      <c r="A6" s="34" t="s">
        <v>75</v>
      </c>
      <c r="B6" s="34" t="s">
        <v>339</v>
      </c>
      <c r="C6" s="34" t="s">
        <v>1</v>
      </c>
      <c r="D6" s="35" t="s">
        <v>150</v>
      </c>
      <c r="E6" s="35" t="s">
        <v>151</v>
      </c>
      <c r="F6" s="36">
        <f>=IF(D6="NOVA",7.5,IF(D6="FUP",5,0))</f>
        <v>7.5</v>
      </c>
      <c r="G6" s="34" t="s">
        <v>340</v>
      </c>
    </row>
    <row r="7" ht="18" customHeight="1" spans="1:7" x14ac:dyDescent="0.25">
      <c r="A7" s="34" t="s">
        <v>75</v>
      </c>
      <c r="B7" s="34" t="s">
        <v>341</v>
      </c>
      <c r="C7" s="34" t="s">
        <v>1</v>
      </c>
      <c r="D7" s="35" t="s">
        <v>150</v>
      </c>
      <c r="E7" s="35" t="s">
        <v>151</v>
      </c>
      <c r="F7" s="36">
        <f>=IF(D7="NOVA",7.5,IF(D7="FUP",5,0))</f>
        <v>7.5</v>
      </c>
      <c r="G7" s="34" t="s">
        <v>342</v>
      </c>
    </row>
    <row r="8" ht="18" customHeight="1" spans="1:7" x14ac:dyDescent="0.25">
      <c r="A8" s="34" t="s">
        <v>71</v>
      </c>
      <c r="B8" s="34" t="s">
        <v>343</v>
      </c>
      <c r="C8" s="34" t="s">
        <v>1</v>
      </c>
      <c r="D8" s="35" t="s">
        <v>150</v>
      </c>
      <c r="E8" s="35" t="s">
        <v>151</v>
      </c>
      <c r="F8" s="36">
        <f>=IF(D8="NOVA",7.5,IF(D8="FUP",5,0))</f>
        <v>7.5</v>
      </c>
      <c r="G8" s="34" t="s">
        <v>344</v>
      </c>
    </row>
    <row r="9" ht="18" customHeight="1" spans="1:7" x14ac:dyDescent="0.25">
      <c r="A9" s="34" t="s">
        <v>53</v>
      </c>
      <c r="B9" s="34" t="s">
        <v>345</v>
      </c>
      <c r="C9" s="34" t="s">
        <v>1</v>
      </c>
      <c r="D9" s="35" t="s">
        <v>150</v>
      </c>
      <c r="E9" s="35" t="s">
        <v>151</v>
      </c>
      <c r="F9" s="36">
        <f>=IF(D9="NOVA",7.5,IF(D9="FUP",5,0))</f>
        <v>7.5</v>
      </c>
      <c r="G9" s="34" t="s">
        <v>346</v>
      </c>
    </row>
    <row r="10" ht="18" customHeight="1" spans="1:7" x14ac:dyDescent="0.25">
      <c r="A10" s="34" t="s">
        <v>53</v>
      </c>
      <c r="B10" s="34" t="s">
        <v>347</v>
      </c>
      <c r="C10" s="34" t="s">
        <v>1</v>
      </c>
      <c r="D10" s="35" t="s">
        <v>150</v>
      </c>
      <c r="E10" s="35" t="s">
        <v>151</v>
      </c>
      <c r="F10" s="36">
        <f>=IF(D10="NOVA",7.5,IF(D10="FUP",5,0))</f>
        <v>7.5</v>
      </c>
      <c r="G10" s="34" t="s">
        <v>348</v>
      </c>
    </row>
    <row r="11" ht="18" customHeight="1" spans="1:7" x14ac:dyDescent="0.25">
      <c r="A11" s="34" t="s">
        <v>260</v>
      </c>
      <c r="B11" s="34" t="s">
        <v>349</v>
      </c>
      <c r="C11" s="34" t="s">
        <v>1</v>
      </c>
      <c r="D11" s="35" t="s">
        <v>150</v>
      </c>
      <c r="E11" s="35" t="s">
        <v>151</v>
      </c>
      <c r="F11" s="36">
        <f>=IF(D11="NOVA",7.5,IF(D11="FUP",5,0))</f>
        <v>7.5</v>
      </c>
      <c r="G11" s="34" t="s">
        <v>350</v>
      </c>
    </row>
    <row r="12" ht="18" customHeight="1" spans="1:7" x14ac:dyDescent="0.25">
      <c r="A12" s="34" t="s">
        <v>260</v>
      </c>
      <c r="B12" s="34" t="s">
        <v>351</v>
      </c>
      <c r="C12" s="34" t="s">
        <v>1</v>
      </c>
      <c r="D12" s="35" t="s">
        <v>150</v>
      </c>
      <c r="E12" s="35" t="s">
        <v>151</v>
      </c>
      <c r="F12" s="36">
        <f>=IF(D12="NOVA",7.5,IF(D12="FUP",5,0))</f>
        <v>7.5</v>
      </c>
      <c r="G12" s="34" t="s">
        <v>352</v>
      </c>
    </row>
    <row r="13" ht="18" customHeight="1" spans="1:7" x14ac:dyDescent="0.25">
      <c r="A13" s="34" t="s">
        <v>260</v>
      </c>
      <c r="B13" s="34" t="s">
        <v>353</v>
      </c>
      <c r="C13" s="34" t="s">
        <v>1</v>
      </c>
      <c r="D13" s="35" t="s">
        <v>150</v>
      </c>
      <c r="E13" s="35" t="s">
        <v>151</v>
      </c>
      <c r="F13" s="36">
        <f>=IF(D13="NOVA",7.5,IF(D13="FUP",5,0))</f>
        <v>7.5</v>
      </c>
      <c r="G13" s="34" t="s">
        <v>354</v>
      </c>
    </row>
    <row r="14" ht="18" customHeight="1" spans="1:7" x14ac:dyDescent="0.25">
      <c r="A14" s="34" t="s">
        <v>121</v>
      </c>
      <c r="B14" s="34" t="s">
        <v>355</v>
      </c>
      <c r="C14" s="34" t="s">
        <v>1</v>
      </c>
      <c r="D14" s="35" t="s">
        <v>150</v>
      </c>
      <c r="E14" s="35" t="s">
        <v>151</v>
      </c>
      <c r="F14" s="36">
        <f>=IF(D14="NOVA",7.5,IF(D14="FUP",5,0))</f>
        <v>7.5</v>
      </c>
      <c r="G14" s="34" t="s">
        <v>356</v>
      </c>
    </row>
    <row r="15" ht="18" customHeight="1" spans="1:7" x14ac:dyDescent="0.25">
      <c r="A15" s="34" t="s">
        <v>90</v>
      </c>
      <c r="B15" s="34" t="s">
        <v>357</v>
      </c>
      <c r="C15" s="34" t="s">
        <v>1</v>
      </c>
      <c r="D15" s="35" t="s">
        <v>150</v>
      </c>
      <c r="E15" s="35" t="s">
        <v>151</v>
      </c>
      <c r="F15" s="36">
        <f>=IF(D15="NOVA",7.5,IF(D15="FUP",5,0))</f>
        <v>7.5</v>
      </c>
      <c r="G15" s="34" t="s">
        <v>358</v>
      </c>
    </row>
    <row r="16" ht="18" customHeight="1" spans="1:7" x14ac:dyDescent="0.25">
      <c r="A16" s="37" t="s">
        <v>90</v>
      </c>
      <c r="B16" s="37" t="s">
        <v>337</v>
      </c>
      <c r="C16" s="37" t="s">
        <v>1</v>
      </c>
      <c r="D16" s="38" t="s">
        <v>167</v>
      </c>
      <c r="E16" s="38" t="s">
        <v>151</v>
      </c>
      <c r="F16" s="39">
        <f>=IF(D16="NOVA",7.5,IF(D16="FUP",5,0))</f>
        <v>5</v>
      </c>
      <c r="G16" s="37" t="s">
        <v>338</v>
      </c>
    </row>
    <row r="18" spans="1:6" x14ac:dyDescent="0.25">
      <c r="A18" t="s">
        <v>1</v>
      </c>
      <c r="B18" s="8" t="s">
        <v>175</v>
      </c>
      <c r="C18" t="s">
        <v>1</v>
      </c>
      <c r="D18" s="40" t="s">
        <v>359</v>
      </c>
      <c r="E18" t="s">
        <v>1</v>
      </c>
      <c r="F18" s="7">
        <f>=SUM(F5:F17)</f>
        <v>87.5</v>
      </c>
    </row>
  </sheetData>
  <mergeCells count="1">
    <mergeCell ref="A1:G1"/>
  </mergeCells>
  <dataValidations count="2">
    <dataValidation type="list" sqref="D10:D16">
      <formula1>"NOVA,FUP"</formula1>
    </dataValidation>
    <dataValidation type="list" sqref="D5:D16">
      <formula1>"NOVA,FUP"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2" t="s">
        <v>360</v>
      </c>
      <c r="B1" s="32"/>
      <c r="C1" s="32"/>
      <c r="D1" s="32"/>
      <c r="E1" s="32"/>
      <c r="F1" s="32"/>
      <c r="G1" s="32"/>
    </row>
    <row r="3" ht="22" customHeight="1" spans="1:7" x14ac:dyDescent="0.25">
      <c r="A3" s="3" t="s">
        <v>144</v>
      </c>
      <c r="B3" s="3" t="s">
        <v>45</v>
      </c>
      <c r="C3" s="3" t="s">
        <v>145</v>
      </c>
      <c r="D3" s="3" t="s">
        <v>146</v>
      </c>
      <c r="E3" s="3" t="s">
        <v>147</v>
      </c>
      <c r="F3" s="3" t="s">
        <v>47</v>
      </c>
      <c r="G3" s="3" t="s">
        <v>48</v>
      </c>
    </row>
    <row r="4" ht="14" customHeight="1" spans="1:2" x14ac:dyDescent="0.25">
      <c r="A4" t="s">
        <v>1</v>
      </c>
      <c r="B4" s="33" t="s">
        <v>148</v>
      </c>
    </row>
    <row r="5" ht="18" customHeight="1" spans="1:7" x14ac:dyDescent="0.25">
      <c r="A5" s="34" t="s">
        <v>134</v>
      </c>
      <c r="B5" s="34" t="s">
        <v>361</v>
      </c>
      <c r="C5" s="34" t="s">
        <v>1</v>
      </c>
      <c r="D5" s="35" t="s">
        <v>150</v>
      </c>
      <c r="E5" s="35" t="s">
        <v>151</v>
      </c>
      <c r="F5" s="36">
        <f>=IF(D5="NOVA",7.5,IF(D5="FUP",5,0))</f>
        <v>7.5</v>
      </c>
      <c r="G5" s="34" t="s">
        <v>362</v>
      </c>
    </row>
    <row r="6" ht="18" customHeight="1" spans="1:7" x14ac:dyDescent="0.25">
      <c r="A6" s="34" t="s">
        <v>84</v>
      </c>
      <c r="B6" s="34" t="s">
        <v>363</v>
      </c>
      <c r="C6" s="34" t="s">
        <v>1</v>
      </c>
      <c r="D6" s="35" t="s">
        <v>150</v>
      </c>
      <c r="E6" s="35" t="s">
        <v>151</v>
      </c>
      <c r="F6" s="36">
        <f>=IF(D6="NOVA",7.5,IF(D6="FUP",5,0))</f>
        <v>7.5</v>
      </c>
      <c r="G6" s="34" t="s">
        <v>364</v>
      </c>
    </row>
    <row r="7" ht="18" customHeight="1" spans="1:7" x14ac:dyDescent="0.25">
      <c r="A7" s="34" t="s">
        <v>84</v>
      </c>
      <c r="B7" s="34" t="s">
        <v>365</v>
      </c>
      <c r="C7" s="34" t="s">
        <v>1</v>
      </c>
      <c r="D7" s="35" t="s">
        <v>150</v>
      </c>
      <c r="E7" s="35" t="s">
        <v>151</v>
      </c>
      <c r="F7" s="36">
        <f>=IF(D7="NOVA",7.5,IF(D7="FUP",5,0))</f>
        <v>7.5</v>
      </c>
      <c r="G7" s="34" t="s">
        <v>366</v>
      </c>
    </row>
    <row r="8" ht="18" customHeight="1" spans="1:7" x14ac:dyDescent="0.25">
      <c r="A8" s="34" t="s">
        <v>164</v>
      </c>
      <c r="B8" s="34" t="s">
        <v>367</v>
      </c>
      <c r="C8" s="34" t="s">
        <v>1</v>
      </c>
      <c r="D8" s="35" t="s">
        <v>150</v>
      </c>
      <c r="E8" s="35" t="s">
        <v>151</v>
      </c>
      <c r="F8" s="36">
        <f>=IF(D8="NOVA",7.5,IF(D8="FUP",5,0))</f>
        <v>7.5</v>
      </c>
      <c r="G8" s="34" t="s">
        <v>368</v>
      </c>
    </row>
    <row r="9" ht="18" customHeight="1" spans="1:7" x14ac:dyDescent="0.25">
      <c r="A9" s="34" t="s">
        <v>164</v>
      </c>
      <c r="B9" s="34" t="s">
        <v>369</v>
      </c>
      <c r="C9" s="34" t="s">
        <v>1</v>
      </c>
      <c r="D9" s="35" t="s">
        <v>150</v>
      </c>
      <c r="E9" s="35" t="s">
        <v>151</v>
      </c>
      <c r="F9" s="36">
        <f>=IF(D9="NOVA",7.5,IF(D9="FUP",5,0))</f>
        <v>7.5</v>
      </c>
      <c r="G9" s="34" t="s">
        <v>370</v>
      </c>
    </row>
    <row r="10" ht="18" customHeight="1" spans="1:7" x14ac:dyDescent="0.25">
      <c r="A10" s="34" t="s">
        <v>70</v>
      </c>
      <c r="B10" s="34" t="s">
        <v>371</v>
      </c>
      <c r="C10" s="34" t="s">
        <v>1</v>
      </c>
      <c r="D10" s="35" t="s">
        <v>150</v>
      </c>
      <c r="E10" s="35" t="s">
        <v>151</v>
      </c>
      <c r="F10" s="36">
        <f>=IF(D10="NOVA",7.5,IF(D10="FUP",5,0))</f>
        <v>7.5</v>
      </c>
      <c r="G10" s="34" t="s">
        <v>372</v>
      </c>
    </row>
    <row r="11" ht="18" customHeight="1" spans="1:7" x14ac:dyDescent="0.25">
      <c r="A11" s="34" t="s">
        <v>111</v>
      </c>
      <c r="B11" s="34" t="s">
        <v>373</v>
      </c>
      <c r="C11" s="34" t="s">
        <v>1</v>
      </c>
      <c r="D11" s="35" t="s">
        <v>150</v>
      </c>
      <c r="E11" s="35" t="s">
        <v>151</v>
      </c>
      <c r="F11" s="36">
        <f>=IF(D11="NOVA",7.5,IF(D11="FUP",5,0))</f>
        <v>7.5</v>
      </c>
      <c r="G11" s="34" t="s">
        <v>374</v>
      </c>
    </row>
    <row r="12" ht="18" customHeight="1" spans="1:7" x14ac:dyDescent="0.25">
      <c r="A12" s="34" t="s">
        <v>111</v>
      </c>
      <c r="B12" s="34" t="s">
        <v>375</v>
      </c>
      <c r="C12" s="34" t="s">
        <v>1</v>
      </c>
      <c r="D12" s="35" t="s">
        <v>150</v>
      </c>
      <c r="E12" s="35" t="s">
        <v>151</v>
      </c>
      <c r="F12" s="36">
        <f>=IF(D12="NOVA",7.5,IF(D12="FUP",5,0))</f>
        <v>7.5</v>
      </c>
      <c r="G12" s="34" t="s">
        <v>376</v>
      </c>
    </row>
    <row r="13" ht="18" customHeight="1" spans="1:7" x14ac:dyDescent="0.25">
      <c r="A13" s="34" t="s">
        <v>121</v>
      </c>
      <c r="B13" s="34" t="s">
        <v>377</v>
      </c>
      <c r="C13" s="34" t="s">
        <v>1</v>
      </c>
      <c r="D13" s="35" t="s">
        <v>150</v>
      </c>
      <c r="E13" s="35" t="s">
        <v>151</v>
      </c>
      <c r="F13" s="36">
        <f>=IF(D13="NOVA",7.5,IF(D13="FUP",5,0))</f>
        <v>7.5</v>
      </c>
      <c r="G13" s="34" t="s">
        <v>378</v>
      </c>
    </row>
    <row r="14" ht="18" customHeight="1" spans="1:7" x14ac:dyDescent="0.25">
      <c r="A14" s="34" t="s">
        <v>105</v>
      </c>
      <c r="B14" s="34" t="s">
        <v>379</v>
      </c>
      <c r="C14" s="34" t="s">
        <v>1</v>
      </c>
      <c r="D14" s="35" t="s">
        <v>150</v>
      </c>
      <c r="E14" s="35" t="s">
        <v>151</v>
      </c>
      <c r="F14" s="36">
        <f>=IF(D14="NOVA",7.5,IF(D14="FUP",5,0))</f>
        <v>7.5</v>
      </c>
      <c r="G14" s="34" t="s">
        <v>380</v>
      </c>
    </row>
    <row r="15" ht="18" customHeight="1" spans="1:7" x14ac:dyDescent="0.25">
      <c r="A15" s="34" t="s">
        <v>105</v>
      </c>
      <c r="B15" s="34" t="s">
        <v>381</v>
      </c>
      <c r="C15" s="34" t="s">
        <v>1</v>
      </c>
      <c r="D15" s="35" t="s">
        <v>150</v>
      </c>
      <c r="E15" s="35" t="s">
        <v>151</v>
      </c>
      <c r="F15" s="36">
        <f>=IF(D15="NOVA",7.5,IF(D15="FUP",5,0))</f>
        <v>7.5</v>
      </c>
      <c r="G15" s="34" t="s">
        <v>382</v>
      </c>
    </row>
    <row r="16" ht="18" customHeight="1" spans="1:7" x14ac:dyDescent="0.25">
      <c r="A16" s="37" t="s">
        <v>56</v>
      </c>
      <c r="B16" s="37" t="s">
        <v>373</v>
      </c>
      <c r="C16" s="37" t="s">
        <v>1</v>
      </c>
      <c r="D16" s="38" t="s">
        <v>167</v>
      </c>
      <c r="E16" s="38" t="s">
        <v>151</v>
      </c>
      <c r="F16" s="39">
        <f>=IF(D16="NOVA",7.5,IF(D16="FUP",5,0))</f>
        <v>5</v>
      </c>
      <c r="G16" s="37" t="s">
        <v>374</v>
      </c>
    </row>
    <row r="17" ht="18" customHeight="1" spans="1:7" x14ac:dyDescent="0.25">
      <c r="A17" s="34" t="s">
        <v>90</v>
      </c>
      <c r="B17" s="34" t="s">
        <v>383</v>
      </c>
      <c r="C17" s="34" t="s">
        <v>1</v>
      </c>
      <c r="D17" s="35" t="s">
        <v>150</v>
      </c>
      <c r="E17" s="35" t="s">
        <v>151</v>
      </c>
      <c r="F17" s="36">
        <f>=IF(D17="NOVA",7.5,IF(D17="FUP",5,0))</f>
        <v>7.5</v>
      </c>
      <c r="G17" s="34" t="s">
        <v>384</v>
      </c>
    </row>
    <row r="18" ht="18" customHeight="1" spans="1:7" x14ac:dyDescent="0.25">
      <c r="A18" s="34" t="s">
        <v>90</v>
      </c>
      <c r="B18" s="34" t="s">
        <v>385</v>
      </c>
      <c r="C18" s="34" t="s">
        <v>1</v>
      </c>
      <c r="D18" s="35" t="s">
        <v>150</v>
      </c>
      <c r="E18" s="35" t="s">
        <v>151</v>
      </c>
      <c r="F18" s="36">
        <f>=IF(D18="NOVA",7.5,IF(D18="FUP",5,0))</f>
        <v>7.5</v>
      </c>
      <c r="G18" s="34" t="s">
        <v>386</v>
      </c>
    </row>
    <row r="19" ht="18" customHeight="1" spans="1:7" x14ac:dyDescent="0.25">
      <c r="A19" s="34" t="s">
        <v>90</v>
      </c>
      <c r="B19" s="34" t="s">
        <v>387</v>
      </c>
      <c r="C19" s="34" t="s">
        <v>1</v>
      </c>
      <c r="D19" s="35" t="s">
        <v>150</v>
      </c>
      <c r="E19" s="35" t="s">
        <v>151</v>
      </c>
      <c r="F19" s="36">
        <f>=IF(D19="NOVA",7.5,IF(D19="FUP",5,0))</f>
        <v>7.5</v>
      </c>
      <c r="G19" s="34" t="s">
        <v>388</v>
      </c>
    </row>
    <row r="20" ht="18" customHeight="1" spans="1:7" x14ac:dyDescent="0.25">
      <c r="A20" s="34" t="s">
        <v>90</v>
      </c>
      <c r="B20" s="34" t="s">
        <v>389</v>
      </c>
      <c r="C20" s="34" t="s">
        <v>1</v>
      </c>
      <c r="D20" s="35" t="s">
        <v>150</v>
      </c>
      <c r="E20" s="35" t="s">
        <v>151</v>
      </c>
      <c r="F20" s="36">
        <f>=IF(D20="NOVA",7.5,IF(D20="FUP",5,0))</f>
        <v>7.5</v>
      </c>
      <c r="G20" s="34" t="s">
        <v>390</v>
      </c>
    </row>
    <row r="22" spans="1:6" x14ac:dyDescent="0.25">
      <c r="A22" t="s">
        <v>1</v>
      </c>
      <c r="B22" s="8" t="s">
        <v>175</v>
      </c>
      <c r="C22" t="s">
        <v>1</v>
      </c>
      <c r="D22" s="40" t="s">
        <v>391</v>
      </c>
      <c r="E22" t="s">
        <v>1</v>
      </c>
      <c r="F22" s="7">
        <f>=SUM(F5:F21)</f>
        <v>117.5</v>
      </c>
    </row>
  </sheetData>
  <mergeCells count="1">
    <mergeCell ref="A1:G1"/>
  </mergeCells>
  <dataValidations count="2">
    <dataValidation type="list" sqref="D10:D20">
      <formula1>"NOVA,FUP"</formula1>
    </dataValidation>
    <dataValidation type="list" sqref="D5:D20">
      <formula1>"NOVA,FUP"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2" t="s">
        <v>392</v>
      </c>
      <c r="B1" s="32"/>
      <c r="C1" s="32"/>
      <c r="D1" s="32"/>
      <c r="E1" s="32"/>
      <c r="F1" s="32"/>
      <c r="G1" s="32"/>
    </row>
    <row r="3" ht="22" customHeight="1" spans="1:7" x14ac:dyDescent="0.25">
      <c r="A3" s="3" t="s">
        <v>144</v>
      </c>
      <c r="B3" s="3" t="s">
        <v>45</v>
      </c>
      <c r="C3" s="3" t="s">
        <v>145</v>
      </c>
      <c r="D3" s="3" t="s">
        <v>146</v>
      </c>
      <c r="E3" s="3" t="s">
        <v>147</v>
      </c>
      <c r="F3" s="3" t="s">
        <v>47</v>
      </c>
      <c r="G3" s="3" t="s">
        <v>48</v>
      </c>
    </row>
    <row r="4" ht="14" customHeight="1" spans="1:2" x14ac:dyDescent="0.25">
      <c r="A4" t="s">
        <v>1</v>
      </c>
      <c r="B4" s="33" t="s">
        <v>148</v>
      </c>
    </row>
    <row r="5" ht="18" customHeight="1" spans="1:7" x14ac:dyDescent="0.25">
      <c r="A5" s="34" t="s">
        <v>66</v>
      </c>
      <c r="B5" s="34" t="s">
        <v>393</v>
      </c>
      <c r="C5" s="34" t="s">
        <v>1</v>
      </c>
      <c r="D5" s="35" t="s">
        <v>150</v>
      </c>
      <c r="E5" s="35" t="s">
        <v>151</v>
      </c>
      <c r="F5" s="36">
        <f>=IF(D5="NOVA",7.5,IF(D5="FUP",5,0))</f>
        <v>7.5</v>
      </c>
      <c r="G5" s="34" t="s">
        <v>394</v>
      </c>
    </row>
    <row r="7" spans="1:6" x14ac:dyDescent="0.25">
      <c r="A7" t="s">
        <v>1</v>
      </c>
      <c r="B7" s="8" t="s">
        <v>175</v>
      </c>
      <c r="C7" t="s">
        <v>1</v>
      </c>
      <c r="D7" s="40" t="s">
        <v>395</v>
      </c>
      <c r="E7" t="s">
        <v>1</v>
      </c>
      <c r="F7" s="7">
        <f>=SUM(F5:F6)</f>
        <v>7.5</v>
      </c>
    </row>
  </sheetData>
  <mergeCells count="1">
    <mergeCell ref="A1:G1"/>
  </mergeCells>
  <dataValidations count="1">
    <dataValidation type="list" sqref="D5">
      <formula1>"NOVA,FUP"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2" t="s">
        <v>396</v>
      </c>
      <c r="B1" s="32"/>
      <c r="C1" s="32"/>
      <c r="D1" s="32"/>
      <c r="E1" s="32"/>
      <c r="F1" s="32"/>
      <c r="G1" s="32"/>
    </row>
    <row r="3" ht="22" customHeight="1" spans="1:7" x14ac:dyDescent="0.25">
      <c r="A3" s="3" t="s">
        <v>144</v>
      </c>
      <c r="B3" s="3" t="s">
        <v>45</v>
      </c>
      <c r="C3" s="3" t="s">
        <v>145</v>
      </c>
      <c r="D3" s="3" t="s">
        <v>146</v>
      </c>
      <c r="E3" s="3" t="s">
        <v>147</v>
      </c>
      <c r="F3" s="3" t="s">
        <v>47</v>
      </c>
      <c r="G3" s="3" t="s">
        <v>48</v>
      </c>
    </row>
    <row r="4" ht="14" customHeight="1" spans="1:2" x14ac:dyDescent="0.25">
      <c r="A4" t="s">
        <v>1</v>
      </c>
      <c r="B4" s="33" t="s">
        <v>148</v>
      </c>
    </row>
    <row r="5" ht="18" customHeight="1" spans="1:7" x14ac:dyDescent="0.25">
      <c r="A5" s="34" t="s">
        <v>134</v>
      </c>
      <c r="B5" s="34" t="s">
        <v>397</v>
      </c>
      <c r="C5" s="34" t="s">
        <v>1</v>
      </c>
      <c r="D5" s="35" t="s">
        <v>150</v>
      </c>
      <c r="E5" s="35" t="s">
        <v>151</v>
      </c>
      <c r="F5" s="36">
        <f>=IF(D5="NOVA",7.5,IF(D5="FUP",5,0))</f>
        <v>7.5</v>
      </c>
      <c r="G5" s="34" t="s">
        <v>398</v>
      </c>
    </row>
    <row r="6" ht="18" customHeight="1" spans="1:7" x14ac:dyDescent="0.25">
      <c r="A6" s="34" t="s">
        <v>134</v>
      </c>
      <c r="B6" s="34" t="s">
        <v>399</v>
      </c>
      <c r="C6" s="34" t="s">
        <v>1</v>
      </c>
      <c r="D6" s="35" t="s">
        <v>150</v>
      </c>
      <c r="E6" s="35" t="s">
        <v>151</v>
      </c>
      <c r="F6" s="36">
        <f>=IF(D6="NOVA",7.5,IF(D6="FUP",5,0))</f>
        <v>7.5</v>
      </c>
      <c r="G6" s="34" t="s">
        <v>400</v>
      </c>
    </row>
    <row r="7" ht="18" customHeight="1" spans="1:7" x14ac:dyDescent="0.25">
      <c r="A7" s="34" t="s">
        <v>134</v>
      </c>
      <c r="B7" s="34" t="s">
        <v>401</v>
      </c>
      <c r="C7" s="34" t="s">
        <v>1</v>
      </c>
      <c r="D7" s="35" t="s">
        <v>150</v>
      </c>
      <c r="E7" s="35" t="s">
        <v>151</v>
      </c>
      <c r="F7" s="36">
        <f>=IF(D7="NOVA",7.5,IF(D7="FUP",5,0))</f>
        <v>7.5</v>
      </c>
      <c r="G7" s="34" t="s">
        <v>402</v>
      </c>
    </row>
    <row r="8" ht="18" customHeight="1" spans="1:7" x14ac:dyDescent="0.25">
      <c r="A8" s="37" t="s">
        <v>134</v>
      </c>
      <c r="B8" s="37" t="s">
        <v>124</v>
      </c>
      <c r="C8" s="37" t="s">
        <v>1</v>
      </c>
      <c r="D8" s="38" t="s">
        <v>167</v>
      </c>
      <c r="E8" s="38" t="s">
        <v>151</v>
      </c>
      <c r="F8" s="39">
        <f>=IF(D8="NOVA",7.5,IF(D8="FUP",5,0))</f>
        <v>5</v>
      </c>
      <c r="G8" s="37" t="s">
        <v>125</v>
      </c>
    </row>
    <row r="9" ht="18" customHeight="1" spans="1:7" x14ac:dyDescent="0.25">
      <c r="A9" s="37" t="s">
        <v>134</v>
      </c>
      <c r="B9" s="37" t="s">
        <v>112</v>
      </c>
      <c r="C9" s="37" t="s">
        <v>1</v>
      </c>
      <c r="D9" s="38" t="s">
        <v>167</v>
      </c>
      <c r="E9" s="38" t="s">
        <v>151</v>
      </c>
      <c r="F9" s="39">
        <f>=IF(D9="NOVA",7.5,IF(D9="FUP",5,0))</f>
        <v>5</v>
      </c>
      <c r="G9" s="37" t="s">
        <v>113</v>
      </c>
    </row>
    <row r="10" ht="18" customHeight="1" spans="1:7" x14ac:dyDescent="0.25">
      <c r="A10" s="34" t="s">
        <v>80</v>
      </c>
      <c r="B10" s="34" t="s">
        <v>403</v>
      </c>
      <c r="C10" s="34" t="s">
        <v>1</v>
      </c>
      <c r="D10" s="35" t="s">
        <v>150</v>
      </c>
      <c r="E10" s="35" t="s">
        <v>151</v>
      </c>
      <c r="F10" s="36">
        <f>=IF(D10="NOVA",7.5,IF(D10="FUP",5,0))</f>
        <v>7.5</v>
      </c>
      <c r="G10" s="34" t="s">
        <v>404</v>
      </c>
    </row>
    <row r="11" ht="18" customHeight="1" spans="1:7" x14ac:dyDescent="0.25">
      <c r="A11" s="34" t="s">
        <v>80</v>
      </c>
      <c r="B11" s="34" t="s">
        <v>405</v>
      </c>
      <c r="C11" s="34" t="s">
        <v>1</v>
      </c>
      <c r="D11" s="35" t="s">
        <v>150</v>
      </c>
      <c r="E11" s="35" t="s">
        <v>151</v>
      </c>
      <c r="F11" s="36">
        <f>=IF(D11="NOVA",7.5,IF(D11="FUP",5,0))</f>
        <v>7.5</v>
      </c>
      <c r="G11" s="34" t="s">
        <v>406</v>
      </c>
    </row>
    <row r="12" ht="18" customHeight="1" spans="1:7" x14ac:dyDescent="0.25">
      <c r="A12" s="34" t="s">
        <v>71</v>
      </c>
      <c r="B12" s="34" t="s">
        <v>407</v>
      </c>
      <c r="C12" s="34" t="s">
        <v>1</v>
      </c>
      <c r="D12" s="35" t="s">
        <v>150</v>
      </c>
      <c r="E12" s="35" t="s">
        <v>151</v>
      </c>
      <c r="F12" s="36">
        <f>=IF(D12="NOVA",7.5,IF(D12="FUP",5,0))</f>
        <v>7.5</v>
      </c>
      <c r="G12" s="34" t="s">
        <v>408</v>
      </c>
    </row>
    <row r="13" ht="18" customHeight="1" spans="1:7" x14ac:dyDescent="0.25">
      <c r="A13" s="34" t="s">
        <v>49</v>
      </c>
      <c r="B13" s="34" t="s">
        <v>409</v>
      </c>
      <c r="C13" s="34" t="s">
        <v>1</v>
      </c>
      <c r="D13" s="35" t="s">
        <v>150</v>
      </c>
      <c r="E13" s="35" t="s">
        <v>151</v>
      </c>
      <c r="F13" s="36">
        <f>=IF(D13="NOVA",7.5,IF(D13="FUP",5,0))</f>
        <v>7.5</v>
      </c>
      <c r="G13" s="34" t="s">
        <v>410</v>
      </c>
    </row>
    <row r="14" ht="18" customHeight="1" spans="1:7" x14ac:dyDescent="0.25">
      <c r="A14" s="34" t="s">
        <v>164</v>
      </c>
      <c r="B14" s="34" t="s">
        <v>411</v>
      </c>
      <c r="C14" s="34" t="s">
        <v>1</v>
      </c>
      <c r="D14" s="35" t="s">
        <v>150</v>
      </c>
      <c r="E14" s="35" t="s">
        <v>151</v>
      </c>
      <c r="F14" s="36">
        <f>=IF(D14="NOVA",7.5,IF(D14="FUP",5,0))</f>
        <v>7.5</v>
      </c>
      <c r="G14" s="34" t="s">
        <v>412</v>
      </c>
    </row>
    <row r="15" ht="18" customHeight="1" spans="1:7" x14ac:dyDescent="0.25">
      <c r="A15" s="34" t="s">
        <v>260</v>
      </c>
      <c r="B15" s="34" t="s">
        <v>413</v>
      </c>
      <c r="C15" s="34" t="s">
        <v>1</v>
      </c>
      <c r="D15" s="35" t="s">
        <v>150</v>
      </c>
      <c r="E15" s="35" t="s">
        <v>151</v>
      </c>
      <c r="F15" s="36">
        <f>=IF(D15="NOVA",7.5,IF(D15="FUP",5,0))</f>
        <v>7.5</v>
      </c>
      <c r="G15" s="34" t="s">
        <v>414</v>
      </c>
    </row>
    <row r="16" ht="18" customHeight="1" spans="1:7" x14ac:dyDescent="0.25">
      <c r="A16" s="34" t="s">
        <v>260</v>
      </c>
      <c r="B16" s="34" t="s">
        <v>415</v>
      </c>
      <c r="C16" s="34" t="s">
        <v>1</v>
      </c>
      <c r="D16" s="35" t="s">
        <v>150</v>
      </c>
      <c r="E16" s="35" t="s">
        <v>151</v>
      </c>
      <c r="F16" s="36">
        <f>=IF(D16="NOVA",7.5,IF(D16="FUP",5,0))</f>
        <v>7.5</v>
      </c>
      <c r="G16" s="34" t="s">
        <v>416</v>
      </c>
    </row>
    <row r="17" ht="18" customHeight="1" spans="1:7" x14ac:dyDescent="0.25">
      <c r="A17" s="34" t="s">
        <v>59</v>
      </c>
      <c r="B17" s="34" t="s">
        <v>106</v>
      </c>
      <c r="C17" s="34" t="s">
        <v>1</v>
      </c>
      <c r="D17" s="35" t="s">
        <v>150</v>
      </c>
      <c r="E17" s="35" t="s">
        <v>151</v>
      </c>
      <c r="F17" s="36">
        <f>=IF(D17="NOVA",7.5,IF(D17="FUP",5,0))</f>
        <v>7.5</v>
      </c>
      <c r="G17" s="34" t="s">
        <v>107</v>
      </c>
    </row>
    <row r="18" ht="18" customHeight="1" spans="1:7" x14ac:dyDescent="0.25">
      <c r="A18" s="34" t="s">
        <v>59</v>
      </c>
      <c r="B18" s="34" t="s">
        <v>417</v>
      </c>
      <c r="C18" s="34" t="s">
        <v>1</v>
      </c>
      <c r="D18" s="35" t="s">
        <v>150</v>
      </c>
      <c r="E18" s="35" t="s">
        <v>151</v>
      </c>
      <c r="F18" s="36">
        <f>=IF(D18="NOVA",7.5,IF(D18="FUP",5,0))</f>
        <v>7.5</v>
      </c>
      <c r="G18" s="34" t="s">
        <v>418</v>
      </c>
    </row>
    <row r="19" ht="18" customHeight="1" spans="1:7" x14ac:dyDescent="0.25">
      <c r="A19" s="34" t="s">
        <v>59</v>
      </c>
      <c r="B19" s="34" t="s">
        <v>419</v>
      </c>
      <c r="C19" s="34" t="s">
        <v>1</v>
      </c>
      <c r="D19" s="35" t="s">
        <v>150</v>
      </c>
      <c r="E19" s="35" t="s">
        <v>151</v>
      </c>
      <c r="F19" s="36">
        <f>=IF(D19="NOVA",7.5,IF(D19="FUP",5,0))</f>
        <v>7.5</v>
      </c>
      <c r="G19" s="34" t="s">
        <v>420</v>
      </c>
    </row>
    <row r="20" ht="18" customHeight="1" spans="1:7" x14ac:dyDescent="0.25">
      <c r="A20" s="34" t="s">
        <v>105</v>
      </c>
      <c r="B20" s="34" t="s">
        <v>421</v>
      </c>
      <c r="C20" s="34" t="s">
        <v>1</v>
      </c>
      <c r="D20" s="35" t="s">
        <v>150</v>
      </c>
      <c r="E20" s="35" t="s">
        <v>151</v>
      </c>
      <c r="F20" s="36">
        <f>=IF(D20="NOVA",7.5,IF(D20="FUP",5,0))</f>
        <v>7.5</v>
      </c>
      <c r="G20" s="34" t="s">
        <v>422</v>
      </c>
    </row>
    <row r="21" ht="18" customHeight="1" spans="1:7" x14ac:dyDescent="0.25">
      <c r="A21" s="37" t="s">
        <v>105</v>
      </c>
      <c r="B21" s="37" t="s">
        <v>415</v>
      </c>
      <c r="C21" s="37" t="s">
        <v>1</v>
      </c>
      <c r="D21" s="38" t="s">
        <v>167</v>
      </c>
      <c r="E21" s="38" t="s">
        <v>151</v>
      </c>
      <c r="F21" s="39">
        <f>=IF(D21="NOVA",7.5,IF(D21="FUP",5,0))</f>
        <v>5</v>
      </c>
      <c r="G21" s="37" t="s">
        <v>416</v>
      </c>
    </row>
    <row r="23" spans="1:6" x14ac:dyDescent="0.25">
      <c r="A23" t="s">
        <v>1</v>
      </c>
      <c r="B23" s="8" t="s">
        <v>175</v>
      </c>
      <c r="C23" t="s">
        <v>1</v>
      </c>
      <c r="D23" s="40" t="s">
        <v>423</v>
      </c>
      <c r="E23" t="s">
        <v>1</v>
      </c>
      <c r="F23" s="7">
        <f>=SUM(F5:F22)</f>
        <v>120</v>
      </c>
    </row>
  </sheetData>
  <mergeCells count="1">
    <mergeCell ref="A1:G1"/>
  </mergeCells>
  <dataValidations count="2">
    <dataValidation type="list" sqref="D10:D21">
      <formula1>"NOVA,FUP"</formula1>
    </dataValidation>
    <dataValidation type="list" sqref="D5:D21">
      <formula1>"NOVA,FUP"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2" t="s">
        <v>424</v>
      </c>
      <c r="B1" s="32"/>
      <c r="C1" s="32"/>
      <c r="D1" s="32"/>
      <c r="E1" s="32"/>
      <c r="F1" s="32"/>
      <c r="G1" s="32"/>
    </row>
    <row r="3" ht="22" customHeight="1" spans="1:7" x14ac:dyDescent="0.25">
      <c r="A3" s="3" t="s">
        <v>144</v>
      </c>
      <c r="B3" s="3" t="s">
        <v>45</v>
      </c>
      <c r="C3" s="3" t="s">
        <v>145</v>
      </c>
      <c r="D3" s="3" t="s">
        <v>146</v>
      </c>
      <c r="E3" s="3" t="s">
        <v>147</v>
      </c>
      <c r="F3" s="3" t="s">
        <v>47</v>
      </c>
      <c r="G3" s="3" t="s">
        <v>48</v>
      </c>
    </row>
    <row r="4" ht="14" customHeight="1" spans="1:2" x14ac:dyDescent="0.25">
      <c r="A4" t="s">
        <v>1</v>
      </c>
      <c r="B4" s="33" t="s">
        <v>148</v>
      </c>
    </row>
    <row r="5" ht="18" customHeight="1" spans="1:7" x14ac:dyDescent="0.25">
      <c r="A5" s="34" t="s">
        <v>84</v>
      </c>
      <c r="B5" s="34" t="s">
        <v>425</v>
      </c>
      <c r="C5" s="34" t="s">
        <v>1</v>
      </c>
      <c r="D5" s="35" t="s">
        <v>150</v>
      </c>
      <c r="E5" s="35" t="s">
        <v>151</v>
      </c>
      <c r="F5" s="36">
        <f>=IF(D5="NOVA",7.5,IF(D5="FUP",5,0))</f>
        <v>7.5</v>
      </c>
      <c r="G5" s="34" t="s">
        <v>426</v>
      </c>
    </row>
    <row r="6" ht="18" customHeight="1" spans="1:7" x14ac:dyDescent="0.25">
      <c r="A6" s="34" t="s">
        <v>126</v>
      </c>
      <c r="B6" s="34" t="s">
        <v>427</v>
      </c>
      <c r="C6" s="34" t="s">
        <v>1</v>
      </c>
      <c r="D6" s="35" t="s">
        <v>150</v>
      </c>
      <c r="E6" s="35" t="s">
        <v>151</v>
      </c>
      <c r="F6" s="36">
        <f>=IF(D6="NOVA",7.5,IF(D6="FUP",5,0))</f>
        <v>7.5</v>
      </c>
      <c r="G6" s="34" t="s">
        <v>428</v>
      </c>
    </row>
    <row r="7" ht="18" customHeight="1" spans="1:7" x14ac:dyDescent="0.25">
      <c r="A7" s="37" t="s">
        <v>126</v>
      </c>
      <c r="B7" s="37" t="s">
        <v>127</v>
      </c>
      <c r="C7" s="37" t="s">
        <v>1</v>
      </c>
      <c r="D7" s="38" t="s">
        <v>167</v>
      </c>
      <c r="E7" s="38" t="s">
        <v>151</v>
      </c>
      <c r="F7" s="39">
        <f>=IF(D7="NOVA",7.5,IF(D7="FUP",5,0))</f>
        <v>5</v>
      </c>
      <c r="G7" s="37" t="s">
        <v>128</v>
      </c>
    </row>
    <row r="8" ht="18" customHeight="1" spans="1:7" x14ac:dyDescent="0.25">
      <c r="A8" s="37" t="s">
        <v>80</v>
      </c>
      <c r="B8" s="37" t="s">
        <v>425</v>
      </c>
      <c r="C8" s="37" t="s">
        <v>1</v>
      </c>
      <c r="D8" s="38" t="s">
        <v>167</v>
      </c>
      <c r="E8" s="38" t="s">
        <v>151</v>
      </c>
      <c r="F8" s="39">
        <f>=IF(D8="NOVA",7.5,IF(D8="FUP",5,0))</f>
        <v>5</v>
      </c>
      <c r="G8" s="37" t="s">
        <v>426</v>
      </c>
    </row>
    <row r="9" ht="18" customHeight="1" spans="1:7" x14ac:dyDescent="0.25">
      <c r="A9" s="34" t="s">
        <v>131</v>
      </c>
      <c r="B9" s="34" t="s">
        <v>429</v>
      </c>
      <c r="C9" s="34" t="s">
        <v>1</v>
      </c>
      <c r="D9" s="35" t="s">
        <v>150</v>
      </c>
      <c r="E9" s="35" t="s">
        <v>151</v>
      </c>
      <c r="F9" s="36">
        <f>=IF(D9="NOVA",7.5,IF(D9="FUP",5,0))</f>
        <v>7.5</v>
      </c>
      <c r="G9" s="34" t="s">
        <v>430</v>
      </c>
    </row>
    <row r="10" ht="18" customHeight="1" spans="1:7" x14ac:dyDescent="0.25">
      <c r="A10" s="34" t="s">
        <v>75</v>
      </c>
      <c r="B10" s="34" t="s">
        <v>122</v>
      </c>
      <c r="C10" s="34" t="s">
        <v>1</v>
      </c>
      <c r="D10" s="35" t="s">
        <v>150</v>
      </c>
      <c r="E10" s="35" t="s">
        <v>151</v>
      </c>
      <c r="F10" s="36">
        <f>=IF(D10="NOVA",7.5,IF(D10="FUP",5,0))</f>
        <v>7.5</v>
      </c>
      <c r="G10" s="34" t="s">
        <v>123</v>
      </c>
    </row>
    <row r="11" ht="18" customHeight="1" spans="1:7" x14ac:dyDescent="0.25">
      <c r="A11" s="34" t="s">
        <v>66</v>
      </c>
      <c r="B11" s="34" t="s">
        <v>431</v>
      </c>
      <c r="C11" s="34" t="s">
        <v>1</v>
      </c>
      <c r="D11" s="35" t="s">
        <v>150</v>
      </c>
      <c r="E11" s="35" t="s">
        <v>151</v>
      </c>
      <c r="F11" s="36">
        <f>=IF(D11="NOVA",7.5,IF(D11="FUP",5,0))</f>
        <v>7.5</v>
      </c>
      <c r="G11" s="34" t="s">
        <v>432</v>
      </c>
    </row>
    <row r="12" ht="18" customHeight="1" spans="1:7" x14ac:dyDescent="0.25">
      <c r="A12" s="34" t="s">
        <v>53</v>
      </c>
      <c r="B12" s="34" t="s">
        <v>433</v>
      </c>
      <c r="C12" s="34" t="s">
        <v>1</v>
      </c>
      <c r="D12" s="35" t="s">
        <v>150</v>
      </c>
      <c r="E12" s="35" t="s">
        <v>151</v>
      </c>
      <c r="F12" s="36">
        <f>=IF(D12="NOVA",7.5,IF(D12="FUP",5,0))</f>
        <v>7.5</v>
      </c>
      <c r="G12" s="34" t="s">
        <v>434</v>
      </c>
    </row>
    <row r="13" ht="18" customHeight="1" spans="1:7" x14ac:dyDescent="0.25">
      <c r="A13" s="34" t="s">
        <v>260</v>
      </c>
      <c r="B13" s="34" t="s">
        <v>435</v>
      </c>
      <c r="C13" s="34" t="s">
        <v>1</v>
      </c>
      <c r="D13" s="35" t="s">
        <v>150</v>
      </c>
      <c r="E13" s="35" t="s">
        <v>151</v>
      </c>
      <c r="F13" s="36">
        <f>=IF(D13="NOVA",7.5,IF(D13="FUP",5,0))</f>
        <v>7.5</v>
      </c>
      <c r="G13" s="34" t="s">
        <v>436</v>
      </c>
    </row>
    <row r="14" ht="18" customHeight="1" spans="1:7" x14ac:dyDescent="0.25">
      <c r="A14" s="34" t="s">
        <v>260</v>
      </c>
      <c r="B14" s="34" t="s">
        <v>437</v>
      </c>
      <c r="C14" s="34" t="s">
        <v>1</v>
      </c>
      <c r="D14" s="35" t="s">
        <v>150</v>
      </c>
      <c r="E14" s="35" t="s">
        <v>151</v>
      </c>
      <c r="F14" s="36">
        <f>=IF(D14="NOVA",7.5,IF(D14="FUP",5,0))</f>
        <v>7.5</v>
      </c>
      <c r="G14" s="34" t="s">
        <v>438</v>
      </c>
    </row>
    <row r="15" ht="18" customHeight="1" spans="1:7" x14ac:dyDescent="0.25">
      <c r="A15" s="34" t="s">
        <v>121</v>
      </c>
      <c r="B15" s="34" t="s">
        <v>439</v>
      </c>
      <c r="C15" s="34" t="s">
        <v>1</v>
      </c>
      <c r="D15" s="35" t="s">
        <v>150</v>
      </c>
      <c r="E15" s="35" t="s">
        <v>151</v>
      </c>
      <c r="F15" s="36">
        <f>=IF(D15="NOVA",7.5,IF(D15="FUP",5,0))</f>
        <v>7.5</v>
      </c>
      <c r="G15" s="34" t="s">
        <v>440</v>
      </c>
    </row>
    <row r="16" ht="18" customHeight="1" spans="1:7" x14ac:dyDescent="0.25">
      <c r="A16" s="34" t="s">
        <v>121</v>
      </c>
      <c r="B16" s="34" t="s">
        <v>441</v>
      </c>
      <c r="C16" s="34" t="s">
        <v>1</v>
      </c>
      <c r="D16" s="35" t="s">
        <v>150</v>
      </c>
      <c r="E16" s="35" t="s">
        <v>151</v>
      </c>
      <c r="F16" s="36">
        <f>=IF(D16="NOVA",7.5,IF(D16="FUP",5,0))</f>
        <v>7.5</v>
      </c>
      <c r="G16" s="34" t="s">
        <v>442</v>
      </c>
    </row>
    <row r="17" ht="18" customHeight="1" spans="1:7" x14ac:dyDescent="0.25">
      <c r="A17" s="34" t="s">
        <v>90</v>
      </c>
      <c r="B17" s="34" t="s">
        <v>443</v>
      </c>
      <c r="C17" s="34" t="s">
        <v>1</v>
      </c>
      <c r="D17" s="35" t="s">
        <v>150</v>
      </c>
      <c r="E17" s="35" t="s">
        <v>151</v>
      </c>
      <c r="F17" s="36">
        <f>=IF(D17="NOVA",7.5,IF(D17="FUP",5,0))</f>
        <v>7.5</v>
      </c>
      <c r="G17" s="34" t="s">
        <v>444</v>
      </c>
    </row>
    <row r="19" spans="1:6" x14ac:dyDescent="0.25">
      <c r="A19" t="s">
        <v>1</v>
      </c>
      <c r="B19" s="8" t="s">
        <v>175</v>
      </c>
      <c r="C19" t="s">
        <v>1</v>
      </c>
      <c r="D19" s="40" t="s">
        <v>445</v>
      </c>
      <c r="E19" t="s">
        <v>1</v>
      </c>
      <c r="F19" s="7">
        <f>=SUM(F5:F18)</f>
        <v>92.5</v>
      </c>
    </row>
  </sheetData>
  <mergeCells count="1">
    <mergeCell ref="A1:G1"/>
  </mergeCells>
  <dataValidations count="2">
    <dataValidation type="list" sqref="D10:D17">
      <formula1>"NOVA,FUP"</formula1>
    </dataValidation>
    <dataValidation type="list" sqref="D5:D17">
      <formula1>"NOVA,FUP"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2" t="s">
        <v>446</v>
      </c>
      <c r="B1" s="32"/>
      <c r="C1" s="32"/>
      <c r="D1" s="32"/>
      <c r="E1" s="32"/>
      <c r="F1" s="32"/>
      <c r="G1" s="32"/>
    </row>
    <row r="3" ht="22" customHeight="1" spans="1:7" x14ac:dyDescent="0.25">
      <c r="A3" s="3" t="s">
        <v>144</v>
      </c>
      <c r="B3" s="3" t="s">
        <v>45</v>
      </c>
      <c r="C3" s="3" t="s">
        <v>145</v>
      </c>
      <c r="D3" s="3" t="s">
        <v>146</v>
      </c>
      <c r="E3" s="3" t="s">
        <v>147</v>
      </c>
      <c r="F3" s="3" t="s">
        <v>47</v>
      </c>
      <c r="G3" s="3" t="s">
        <v>48</v>
      </c>
    </row>
    <row r="4" ht="14" customHeight="1" spans="1:2" x14ac:dyDescent="0.25">
      <c r="A4" t="s">
        <v>1</v>
      </c>
      <c r="B4" s="33" t="s">
        <v>148</v>
      </c>
    </row>
    <row r="5" ht="18" customHeight="1" spans="1:7" x14ac:dyDescent="0.25">
      <c r="A5" s="34" t="s">
        <v>126</v>
      </c>
      <c r="B5" s="34" t="s">
        <v>447</v>
      </c>
      <c r="C5" s="34" t="s">
        <v>1</v>
      </c>
      <c r="D5" s="35" t="s">
        <v>150</v>
      </c>
      <c r="E5" s="35" t="s">
        <v>151</v>
      </c>
      <c r="F5" s="36">
        <f>=IF(D5="NOVA",7.5,IF(D5="FUP",5,0))</f>
        <v>7.5</v>
      </c>
      <c r="G5" s="34" t="s">
        <v>448</v>
      </c>
    </row>
    <row r="6" ht="18" customHeight="1" spans="1:7" x14ac:dyDescent="0.25">
      <c r="A6" s="34" t="s">
        <v>126</v>
      </c>
      <c r="B6" s="34" t="s">
        <v>449</v>
      </c>
      <c r="C6" s="34" t="s">
        <v>1</v>
      </c>
      <c r="D6" s="35" t="s">
        <v>150</v>
      </c>
      <c r="E6" s="35" t="s">
        <v>151</v>
      </c>
      <c r="F6" s="36">
        <f>=IF(D6="NOVA",7.5,IF(D6="FUP",5,0))</f>
        <v>7.5</v>
      </c>
      <c r="G6" s="34" t="s">
        <v>450</v>
      </c>
    </row>
    <row r="7" ht="18" customHeight="1" spans="1:7" x14ac:dyDescent="0.25">
      <c r="A7" s="34" t="s">
        <v>131</v>
      </c>
      <c r="B7" s="34" t="s">
        <v>451</v>
      </c>
      <c r="C7" s="34" t="s">
        <v>1</v>
      </c>
      <c r="D7" s="35" t="s">
        <v>150</v>
      </c>
      <c r="E7" s="35" t="s">
        <v>151</v>
      </c>
      <c r="F7" s="36">
        <f>=IF(D7="NOVA",7.5,IF(D7="FUP",5,0))</f>
        <v>7.5</v>
      </c>
      <c r="G7" s="34" t="s">
        <v>452</v>
      </c>
    </row>
    <row r="8" ht="18" customHeight="1" spans="1:7" x14ac:dyDescent="0.25">
      <c r="A8" s="34" t="s">
        <v>131</v>
      </c>
      <c r="B8" s="34" t="s">
        <v>453</v>
      </c>
      <c r="C8" s="34" t="s">
        <v>1</v>
      </c>
      <c r="D8" s="35" t="s">
        <v>150</v>
      </c>
      <c r="E8" s="35" t="s">
        <v>151</v>
      </c>
      <c r="F8" s="36">
        <f>=IF(D8="NOVA",7.5,IF(D8="FUP",5,0))</f>
        <v>7.5</v>
      </c>
      <c r="G8" s="34" t="s">
        <v>454</v>
      </c>
    </row>
    <row r="9" ht="18" customHeight="1" spans="1:7" x14ac:dyDescent="0.25">
      <c r="A9" s="34" t="s">
        <v>111</v>
      </c>
      <c r="B9" s="34" t="s">
        <v>455</v>
      </c>
      <c r="C9" s="34" t="s">
        <v>1</v>
      </c>
      <c r="D9" s="35" t="s">
        <v>150</v>
      </c>
      <c r="E9" s="35" t="s">
        <v>151</v>
      </c>
      <c r="F9" s="36">
        <f>=IF(D9="NOVA",7.5,IF(D9="FUP",5,0))</f>
        <v>7.5</v>
      </c>
      <c r="G9" s="34" t="s">
        <v>456</v>
      </c>
    </row>
    <row r="10" ht="18" customHeight="1" spans="1:7" x14ac:dyDescent="0.25">
      <c r="A10" s="34" t="s">
        <v>121</v>
      </c>
      <c r="B10" s="34" t="s">
        <v>457</v>
      </c>
      <c r="C10" s="34" t="s">
        <v>1</v>
      </c>
      <c r="D10" s="35" t="s">
        <v>150</v>
      </c>
      <c r="E10" s="35" t="s">
        <v>151</v>
      </c>
      <c r="F10" s="36">
        <f>=IF(D10="NOVA",7.5,IF(D10="FUP",5,0))</f>
        <v>7.5</v>
      </c>
      <c r="G10" s="34" t="s">
        <v>458</v>
      </c>
    </row>
    <row r="11" ht="18" customHeight="1" spans="1:7" x14ac:dyDescent="0.25">
      <c r="A11" s="34" t="s">
        <v>56</v>
      </c>
      <c r="B11" s="34" t="s">
        <v>459</v>
      </c>
      <c r="C11" s="34" t="s">
        <v>1</v>
      </c>
      <c r="D11" s="35" t="s">
        <v>150</v>
      </c>
      <c r="E11" s="35" t="s">
        <v>151</v>
      </c>
      <c r="F11" s="36">
        <f>=IF(D11="NOVA",7.5,IF(D11="FUP",5,0))</f>
        <v>7.5</v>
      </c>
      <c r="G11" s="34" t="s">
        <v>460</v>
      </c>
    </row>
    <row r="13" spans="1:6" x14ac:dyDescent="0.25">
      <c r="A13" t="s">
        <v>1</v>
      </c>
      <c r="B13" s="8" t="s">
        <v>175</v>
      </c>
      <c r="C13" t="s">
        <v>1</v>
      </c>
      <c r="D13" s="40" t="s">
        <v>461</v>
      </c>
      <c r="E13" t="s">
        <v>1</v>
      </c>
      <c r="F13" s="7">
        <f>=SUM(F5:F12)</f>
        <v>52.5</v>
      </c>
    </row>
  </sheetData>
  <mergeCells count="1">
    <mergeCell ref="A1:G1"/>
  </mergeCells>
  <dataValidations count="2">
    <dataValidation type="list" sqref="D10:D11">
      <formula1>"NOVA,FUP"</formula1>
    </dataValidation>
    <dataValidation type="list" sqref="D5:D11">
      <formula1>"NOVA,FUP"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Resumo</vt:lpstr>
      <vt:lpstr>Negócios Fechados</vt:lpstr>
      <vt:lpstr>Igor Vasconcelos</vt:lpstr>
      <vt:lpstr>Gabriel</vt:lpstr>
      <vt:lpstr>Michelle</vt:lpstr>
      <vt:lpstr>Kailany</vt:lpstr>
      <vt:lpstr>Ana Karolayne</vt:lpstr>
      <vt:lpstr>Igor</vt:lpstr>
      <vt:lpstr>Larissa</vt:lpstr>
      <vt:lpstr>Ana Belle</vt:lpstr>
      <vt:lpstr>Leticia</vt:lpstr>
      <vt:lpstr>Ana Beatriz</vt:lpstr>
      <vt:lpstr>Lawanny</vt:lpstr>
      <vt:lpstr>Railanne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2026-06-20T22:07:28Z</dcterms:created>
  <dcterms:modified xsi:type="dcterms:W3CDTF">2026-06-20T22:07:28Z</dcterms:modified>
</cp:coreProperties>
</file>