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Negócios Fechados" state="visible" r:id="rId5"/>
    <sheet sheetId="3" name="Igor Vasconcelos" state="visible" r:id="rId6"/>
    <sheet sheetId="4" name="Gabriel" state="visible" r:id="rId7"/>
    <sheet sheetId="5" name="Michelle" state="visible" r:id="rId8"/>
    <sheet sheetId="6" name="Kailany" state="visible" r:id="rId9"/>
    <sheet sheetId="7" name="Ana Karolayne" state="visible" r:id="rId10"/>
    <sheet sheetId="8" name="Igor" state="visible" r:id="rId11"/>
    <sheet sheetId="9" name="Larissa" state="visible" r:id="rId12"/>
    <sheet sheetId="10" name="Ana Belle" state="visible" r:id="rId13"/>
    <sheet sheetId="11" name="Leticia" state="visible" r:id="rId14"/>
    <sheet sheetId="12" name="Ana Beatriz" state="visible" r:id="rId15"/>
    <sheet sheetId="13" name="Lawanny" state="visible" r:id="rId16"/>
    <sheet sheetId="14" name="Railanne" state="visible" r:id="rId17"/>
  </sheets>
  <calcPr calcId="171027"/>
</workbook>
</file>

<file path=xl/sharedStrings.xml><?xml version="1.0" encoding="utf-8"?>
<sst xmlns="http://schemas.openxmlformats.org/spreadsheetml/2006/main" count="1288" uniqueCount="376">
  <si>
    <t>PREMIAÇÃO SDR — GRUPO VIGNA — 21/07 → 20/08/2026</t>
  </si>
  <si>
    <t/>
  </si>
  <si>
    <t>— EQUIPE GABRIEL —</t>
  </si>
  <si>
    <t>SDR</t>
  </si>
  <si>
    <t>NOVAS</t>
  </si>
  <si>
    <t>FUPs</t>
  </si>
  <si>
    <t>TOTAL REUNIÕES</t>
  </si>
  <si>
    <t>COMISSÃO REUNIÕES</t>
  </si>
  <si>
    <t>FECHAMENTOS</t>
  </si>
  <si>
    <t>VALOR UNIT.</t>
  </si>
  <si>
    <t>COMISSÃO FECHAMENTOS</t>
  </si>
  <si>
    <t>TOTAL GERAL</t>
  </si>
  <si>
    <t>Gabriel</t>
  </si>
  <si>
    <t>(blocos)</t>
  </si>
  <si>
    <t>Michelle</t>
  </si>
  <si>
    <t>Kailany</t>
  </si>
  <si>
    <t>Ana Karolayne</t>
  </si>
  <si>
    <t>Igor</t>
  </si>
  <si>
    <t>SUBTOTAL GABRIEL</t>
  </si>
  <si>
    <t>— EQUIPE PAOLA —</t>
  </si>
  <si>
    <t>Larissa</t>
  </si>
  <si>
    <t>Ana Belle</t>
  </si>
  <si>
    <t>Leticia</t>
  </si>
  <si>
    <t>Ana Beatriz</t>
  </si>
  <si>
    <t>Lawanny</t>
  </si>
  <si>
    <t>Railanne</t>
  </si>
  <si>
    <t>SUBTOTAL PAOLA</t>
  </si>
  <si>
    <t>Igor Vasconcelos</t>
  </si>
  <si>
    <t>TABELA DE VALORES</t>
  </si>
  <si>
    <t>── JÚNIOR (&lt;1 ano) ──────────────────────────</t>
  </si>
  <si>
    <t>REUNIÃO NOVA  VC</t>
  </si>
  <si>
    <t>R$ 7,50</t>
  </si>
  <si>
    <t>REUNIÃO NOVA  Presencial</t>
  </si>
  <si>
    <t>R$ 15,00</t>
  </si>
  <si>
    <t>REUNIÃO FUP   VC</t>
  </si>
  <si>
    <t>R$ 5,00</t>
  </si>
  <si>
    <t>REUNIÃO FUP   Presencial</t>
  </si>
  <si>
    <t>FECHAMENTO (flat)</t>
  </si>
  <si>
    <t>R$ 100,00</t>
  </si>
  <si>
    <t>── SÊNIOR (+1 ano) ─────────────────────────</t>
  </si>
  <si>
    <t>R$ 10,00</t>
  </si>
  <si>
    <t>R$ 25,00</t>
  </si>
  <si>
    <t>FECHAMENTO 1–5</t>
  </si>
  <si>
    <t>R$ 120,00/cada</t>
  </si>
  <si>
    <t>FECHAMENTO 6–10</t>
  </si>
  <si>
    <t>R$ 150,00/cada</t>
  </si>
  <si>
    <t>FECHAMENTO 11+</t>
  </si>
  <si>
    <t>R$ 180,00/cada</t>
  </si>
  <si>
    <t>SDRs sênior (+1 ano): Gabriel, Ana Beatriz, Leticia</t>
  </si>
  <si>
    <t>NEGÓCIOS FECHADOS — GRUPO VIGNA — 21/07 → 20/08/2026</t>
  </si>
  <si>
    <t>🟦 Júnior (&lt;1 ano): R$100/cada (flat)</t>
  </si>
  <si>
    <t>🟩 Sênior (+1 ano): R$120 (1–5)</t>
  </si>
  <si>
    <t>🟨 Sênior (+1 ano): R$150 (6–10)</t>
  </si>
  <si>
    <t>🟧 Sênior (+1 ano): R$180 (11+)</t>
  </si>
  <si>
    <t>GABRIEL  (+1 ano)</t>
  </si>
  <si>
    <t xml:space="preserve">  +1 ano: R$120 (1–5) | R$150 (6–10) | R$180 (11+)</t>
  </si>
  <si>
    <t>DATA FECHAMENTO</t>
  </si>
  <si>
    <t>EMPRESA</t>
  </si>
  <si>
    <t>PRODUTO / SERVIÇO</t>
  </si>
  <si>
    <t>VALOR</t>
  </si>
  <si>
    <t>LINK AGENDOR</t>
  </si>
  <si>
    <t>14/08/2026</t>
  </si>
  <si>
    <t>Confederação Brasileira de Tênis de Mesa</t>
  </si>
  <si>
    <t>COMPLIANCE CONTROL</t>
  </si>
  <si>
    <t>https://beta.agendor.com.br/tasks?organizationId=18909638</t>
  </si>
  <si>
    <t>13/08/2026</t>
  </si>
  <si>
    <t>RESOURCE TECNOLOGIA E INFORMATICA (QINTESS)</t>
  </si>
  <si>
    <t>VAA - CONTENCIOSO TRABALHISTA</t>
  </si>
  <si>
    <t>https://beta.agendor.com.br/tasks?organizationId=44839450</t>
  </si>
  <si>
    <t>12/08/2026</t>
  </si>
  <si>
    <t>28/07/2026</t>
  </si>
  <si>
    <t>VAA - CONTENCIOSO CÍVEL</t>
  </si>
  <si>
    <t>29/07/2026</t>
  </si>
  <si>
    <t>PRORESERVE SERVICOS DE INTERNET LTDA</t>
  </si>
  <si>
    <t>VAA - CONSULTIVO</t>
  </si>
  <si>
    <t>https://beta.agendor.com.br/tasks?organizationId=50062233</t>
  </si>
  <si>
    <t>TOTAL: 6 fechamento(s)</t>
  </si>
  <si>
    <t>MICHELLE  (&lt;1 ano)</t>
  </si>
  <si>
    <t xml:space="preserve">  &lt;1 ano: R$100 por fechamento (flat)</t>
  </si>
  <si>
    <t>(sem negócios no período)</t>
  </si>
  <si>
    <t>KAILANY  (&lt;1 ano)</t>
  </si>
  <si>
    <t>24/07/2026</t>
  </si>
  <si>
    <t>UHY Bendoraytes - Brasil</t>
  </si>
  <si>
    <t>VAA - SOCIETÁRIO</t>
  </si>
  <si>
    <t>https://beta.agendor.com.br/tasks?organizationId=29446188</t>
  </si>
  <si>
    <t>31/07/2026</t>
  </si>
  <si>
    <t>VITALMED - SERVICOS DE EMERGENCIA MEDICA LTDA</t>
  </si>
  <si>
    <t>INVESTIGAÇÃO CC</t>
  </si>
  <si>
    <t>https://beta.agendor.com.br/tasks?organizationId=37177543</t>
  </si>
  <si>
    <t>TOTAL: 2 fechamento(s)</t>
  </si>
  <si>
    <t>ANA KAROLAYNE  (&lt;1 ano)</t>
  </si>
  <si>
    <t>11/08/2026</t>
  </si>
  <si>
    <t>COOPERATIVA DE LATICINIOS SELITA</t>
  </si>
  <si>
    <t>CANAL DE DENUNCIA</t>
  </si>
  <si>
    <t>https://beta.agendor.com.br/tasks?organizationId=19139029</t>
  </si>
  <si>
    <t>TOTAL: 1 fechamento(s)</t>
  </si>
  <si>
    <t>IGOR  (&lt;1 ano)</t>
  </si>
  <si>
    <t>LARISSA  (&lt;1 ano)</t>
  </si>
  <si>
    <t>ANA BELLE  (&lt;1 ano)</t>
  </si>
  <si>
    <t>LETICIA  (+1 ano)</t>
  </si>
  <si>
    <t>ANA BEATRIZ  (+1 ano)</t>
  </si>
  <si>
    <t>Supertec Equipamentos De Protecao Ltda</t>
  </si>
  <si>
    <t>LEGAL ÉTICA</t>
  </si>
  <si>
    <t>https://beta.agendor.com.br/tasks?organizationId=40317937</t>
  </si>
  <si>
    <t>23/07/2026</t>
  </si>
  <si>
    <t>BRASFRUT-FRUTOS DO BRASIL LTDA</t>
  </si>
  <si>
    <t>https://beta.agendor.com.br/tasks?organizationId=38777145</t>
  </si>
  <si>
    <t>LAWANNY  (&lt;1 ano)</t>
  </si>
  <si>
    <t>10/08/2026</t>
  </si>
  <si>
    <t>Panini Brasil</t>
  </si>
  <si>
    <t>https://beta.agendor.com.br/tasks?organizationId=15310470</t>
  </si>
  <si>
    <t>TOTAL: 3 fechamento(s)</t>
  </si>
  <si>
    <t>RAILANNE  (&lt;1 ano)</t>
  </si>
  <si>
    <t>IGOR VASCONCELOS  (&lt;1 ano)</t>
  </si>
  <si>
    <t>19/08/2026</t>
  </si>
  <si>
    <t>ECON CONSTRUTORA E INCORPORADORA LTDA / ECON DESENVOLVIMENTO IMOBILIÁRIO LTDA</t>
  </si>
  <si>
    <t>VAA - CONTRATOS</t>
  </si>
  <si>
    <t>https://beta.agendor.com.br/tasks?organizationId=638859</t>
  </si>
  <si>
    <t>17/08/2026</t>
  </si>
  <si>
    <t>VAA - LICITAÇÃO</t>
  </si>
  <si>
    <t>CAVAZANI EMPREENDIMENTOS IMOBILIARIOS LTDA</t>
  </si>
  <si>
    <t>VAA - RECUPERAÇÃO DE CREDITO</t>
  </si>
  <si>
    <t>https://beta.agendor.com.br/tasks?organizationId=43840892</t>
  </si>
  <si>
    <t>07/08/2026</t>
  </si>
  <si>
    <t>YUNY INCORPORADORA S A (TOLSTOI)</t>
  </si>
  <si>
    <t>https://beta.agendor.com.br/tasks?organizationId=548083</t>
  </si>
  <si>
    <t>AYALLA</t>
  </si>
  <si>
    <t>VAA - MARCAS</t>
  </si>
  <si>
    <t>https://beta.agendor.com.br/tasks?organizationId=588960</t>
  </si>
  <si>
    <t>LUFT LOGISTICS / GRUPO LUFT</t>
  </si>
  <si>
    <t>VAA - TRIBUTÁRIO</t>
  </si>
  <si>
    <t>https://beta.agendor.com.br/tasks?organizationId=553742</t>
  </si>
  <si>
    <t>22/07/2026</t>
  </si>
  <si>
    <t>CIVEL</t>
  </si>
  <si>
    <t>ROJ</t>
  </si>
  <si>
    <t>https://beta.agendor.com.br/tasks?organizationId=52798938</t>
  </si>
  <si>
    <t>TOTAL: 12 fechamento(s)</t>
  </si>
  <si>
    <t>TOTAL GERAL — NEGÓCIOS FECHADOS</t>
  </si>
  <si>
    <t>IGOR VASCONCELOS — NEGÓCIOS FECHADOS — 21/07 → 20/08/2026</t>
  </si>
  <si>
    <t>⬛ 1–5: R$120/cada</t>
  </si>
  <si>
    <t>⬛ 6–10: R$150/cada</t>
  </si>
  <si>
    <t>⬛ 11+: R$180/cada</t>
  </si>
  <si>
    <t>PREMIAÇÃO — GABRIEL (Equipe Gabriel | +1 ano) — 21/07 → 20/08/2026</t>
  </si>
  <si>
    <t>NOVA VC: R$10 | NOVA Presencial: R$25 | FUP VC: R$5 | FUP Presencial: R$10</t>
  </si>
  <si>
    <t>DATA</t>
  </si>
  <si>
    <t>ÁREA</t>
  </si>
  <si>
    <t>TIPO</t>
  </si>
  <si>
    <t>MODALIDADE</t>
  </si>
  <si>
    <t>⚡ Altere TIPO e MODALIDADE → VALOR recalcula automaticamente</t>
  </si>
  <si>
    <t>CONCESSIONARIA DO AEROPORTO INTERNACIONAL DE GUARULHOS SA</t>
  </si>
  <si>
    <t>REVISÃO MATRIZ DE RISCO</t>
  </si>
  <si>
    <t>NOVA</t>
  </si>
  <si>
    <t>PRESENCIAL</t>
  </si>
  <si>
    <t>https://beta.agendor.com.br/tasks?organizationId=549756</t>
  </si>
  <si>
    <t>SA RIBAS ENGENHARIA  (indicação Jorge)</t>
  </si>
  <si>
    <t>VIDEO CONFERÊNCIA</t>
  </si>
  <si>
    <t>https://beta.agendor.com.br/tasks?organizationId=53006567</t>
  </si>
  <si>
    <t>EMPRESA BRASILEIRA DE TELECOMUNICACOES S A EMBRATEL -SP / CLARO S A</t>
  </si>
  <si>
    <t>https://beta.agendor.com.br/tasks?organizationId=543428</t>
  </si>
  <si>
    <t>GOODYEAR DO BRASIL  PRODUTOS DE BORRACHA LTDA</t>
  </si>
  <si>
    <t>https://beta.agendor.com.br/tasks?organizationId=547237</t>
  </si>
  <si>
    <t>FUP</t>
  </si>
  <si>
    <t>ENGELUX CONSTRUTORA LTDA</t>
  </si>
  <si>
    <t>https://beta.agendor.com.br/tasks?organizationId=543667</t>
  </si>
  <si>
    <t>27/07/2026</t>
  </si>
  <si>
    <t>TECNOLOGIA BANCARIA S.A.</t>
  </si>
  <si>
    <t>https://beta.agendor.com.br/tasks?organizationId=15602043</t>
  </si>
  <si>
    <t>Salinor - Salinas Do Nordeste S.a.</t>
  </si>
  <si>
    <t>https://beta.agendor.com.br/tasks?organizationId=52808323</t>
  </si>
  <si>
    <t>04/08/2026</t>
  </si>
  <si>
    <t>MARCOS FERNANDES (MARCAS)</t>
  </si>
  <si>
    <t>https://beta.agendor.com.br/tasks?organizationId=31823791</t>
  </si>
  <si>
    <t>05/08/2026</t>
  </si>
  <si>
    <t>Empresa Luz e Força Santa Maria SA</t>
  </si>
  <si>
    <t>https://beta.agendor.com.br/tasks?organizationId=21071797</t>
  </si>
  <si>
    <t>TREINAMENTO</t>
  </si>
  <si>
    <t>canal</t>
  </si>
  <si>
    <t>GESTÃO DE CONTRATOS</t>
  </si>
  <si>
    <t>Mac Construtora e Incorporadora</t>
  </si>
  <si>
    <t>https://beta.agendor.com.br/tasks?organizationId=4584613</t>
  </si>
  <si>
    <t>TOTAL</t>
  </si>
  <si>
    <t>11 N / 5 F</t>
  </si>
  <si>
    <t>PREMIAÇÃO — MICHELLE (Equipe Gabriel | &lt;1 ano) — 21/07 → 20/08/2026</t>
  </si>
  <si>
    <t>NOVA VC: R$7,50 | NOVA Presencial: R$15 | FUP VC: R$5 | FUP Presencial: R$7,50</t>
  </si>
  <si>
    <t>0 N / 0 F</t>
  </si>
  <si>
    <t>PREMIAÇÃO — KAILANY (Equipe Gabriel | &lt;1 ano) — 21/07 → 20/08/2026</t>
  </si>
  <si>
    <t>DO MESTRE , FORT SOLUTIONS &amp; BRAVIA</t>
  </si>
  <si>
    <t>https://beta.agendor.com.br/tasks?organizationId=48375518</t>
  </si>
  <si>
    <t>TGM MAQUINAS E EQUIPAMENTOS</t>
  </si>
  <si>
    <t>https://beta.agendor.com.br/tasks?organizationId=541211</t>
  </si>
  <si>
    <t>Orcali Servicos de Seguranca Ltda</t>
  </si>
  <si>
    <t>https://beta.agendor.com.br/tasks?organizationId=28305948</t>
  </si>
  <si>
    <t>06/08/2026</t>
  </si>
  <si>
    <t>SKYMARK GERENCIAMENTO DE RISCOS LTDA</t>
  </si>
  <si>
    <t>https://beta.agendor.com.br/tasks?organizationId=41832087</t>
  </si>
  <si>
    <t>BRASIL VIDA TAXI AEREO</t>
  </si>
  <si>
    <t>https://beta.agendor.com.br/tasks?organizationId=45573114</t>
  </si>
  <si>
    <t>Itabira Agro Industrial (Cimento Nassau)</t>
  </si>
  <si>
    <t>https://beta.agendor.com.br/tasks?organizationId=52808269</t>
  </si>
  <si>
    <t>SOMAR INDUSTRIAL DE EMBALAGENS LTDA</t>
  </si>
  <si>
    <t>https://beta.agendor.com.br/tasks?organizationId=39175845</t>
  </si>
  <si>
    <t>HT CONSTRUCAO CIVIL LTDA</t>
  </si>
  <si>
    <t>https://beta.agendor.com.br/tasks?organizationId=48089210</t>
  </si>
  <si>
    <t>TGA</t>
  </si>
  <si>
    <t>https://beta.agendor.com.br/tasks?organizationId=39304456</t>
  </si>
  <si>
    <t>SOLPLAN</t>
  </si>
  <si>
    <t>https://beta.agendor.com.br/tasks?organizationId=30165723</t>
  </si>
  <si>
    <t>20/08/2026</t>
  </si>
  <si>
    <t>Tait Comunicacoes Brasil</t>
  </si>
  <si>
    <t>https://beta.agendor.com.br/tasks?organizationId=41804385</t>
  </si>
  <si>
    <t>AGRO INDUSTRIAL ITUBERA</t>
  </si>
  <si>
    <t>https://beta.agendor.com.br/tasks?organizationId=39310395</t>
  </si>
  <si>
    <t>VIACAO MIRACATIBA LTDA</t>
  </si>
  <si>
    <t>https://beta.agendor.com.br/tasks?organizationId=34944951</t>
  </si>
  <si>
    <t>BARBOSA, BARBOSA E CIA LTDA</t>
  </si>
  <si>
    <t>https://beta.agendor.com.br/tasks?organizationId=48562807</t>
  </si>
  <si>
    <t>Minusa Tratorpeças</t>
  </si>
  <si>
    <t>https://beta.agendor.com.br/tasks?organizationId=21013313</t>
  </si>
  <si>
    <t>21/08/2026</t>
  </si>
  <si>
    <t>15 N / 1 F</t>
  </si>
  <si>
    <t>PREMIAÇÃO — ANA KAROLAYNE (Equipe Gabriel | &lt;1 ano) — 21/07 → 20/08/2026</t>
  </si>
  <si>
    <t>ASSOBRAV GRUPO DISAL</t>
  </si>
  <si>
    <t>https://beta.agendor.com.br/tasks?organizationId=543878</t>
  </si>
  <si>
    <t>EMOBREL ENGENHARIA E CONSTRUCOES LTDA</t>
  </si>
  <si>
    <t>https://beta.agendor.com.br/tasks?organizationId=12913920</t>
  </si>
  <si>
    <t>LDO TRANSPORTE TURISTICO LTDA</t>
  </si>
  <si>
    <t>https://beta.agendor.com.br/tasks?organizationId=32658477</t>
  </si>
  <si>
    <t>VERITAS APEX LTDA</t>
  </si>
  <si>
    <t>https://beta.agendor.com.br/tasks?organizationId=53109412</t>
  </si>
  <si>
    <t>CONSTRUTORA CLARK LTDA</t>
  </si>
  <si>
    <t>https://beta.agendor.com.br/tasks?organizationId=39124804</t>
  </si>
  <si>
    <t>AGRICOLA FAMOSA S.A.</t>
  </si>
  <si>
    <t>https://beta.agendor.com.br/tasks?organizationId=51652375</t>
  </si>
  <si>
    <t>PERENCO PETROLEO E GAS DO BRASIL LTDA</t>
  </si>
  <si>
    <t>https://beta.agendor.com.br/tasks?organizationId=52808211</t>
  </si>
  <si>
    <t>VALLOUREC SOLUCOES TUBULARES DO BRASIL S.A.</t>
  </si>
  <si>
    <t>https://beta.agendor.com.br/tasks?organizationId=36377408</t>
  </si>
  <si>
    <t>GRUPO GUITTA CORRETORA DE CAMBIO</t>
  </si>
  <si>
    <t>https://beta.agendor.com.br/tasks?organizationId=545010</t>
  </si>
  <si>
    <t>SEQUOIA ALIMENTOS LTDA</t>
  </si>
  <si>
    <t>https://beta.agendor.com.br/tasks?organizationId=41973761</t>
  </si>
  <si>
    <t>BRASAL PARTICIPACOES S/A</t>
  </si>
  <si>
    <t>https://beta.agendor.com.br/tasks?organizationId=15123662</t>
  </si>
  <si>
    <t>INDUSTRIAS REUNIDAS HELIO ARRUDA COELHO / FABRICA COELHO</t>
  </si>
  <si>
    <t>https://beta.agendor.com.br/tasks?organizationId=48562775</t>
  </si>
  <si>
    <t>GOIAS ALIMENTOS S/A</t>
  </si>
  <si>
    <t>https://beta.agendor.com.br/tasks?organizationId=46285804</t>
  </si>
  <si>
    <t>SOYAMA TURISMO S.A</t>
  </si>
  <si>
    <t>https://beta.agendor.com.br/tasks?organizationId=43737217</t>
  </si>
  <si>
    <t>18/08/2026</t>
  </si>
  <si>
    <t>SANTO ANTONIO GRANITOS LTDA</t>
  </si>
  <si>
    <t>https://beta.agendor.com.br/tasks?organizationId=48462440</t>
  </si>
  <si>
    <t>BIOMIG MATERIAL MEDICO HOSPITALAR LTDA</t>
  </si>
  <si>
    <t>https://beta.agendor.com.br/tasks?organizationId=3487543</t>
  </si>
  <si>
    <t>17 N / 0 F</t>
  </si>
  <si>
    <t>PREMIAÇÃO — IGOR (Equipe Gabriel | &lt;1 ano) — 21/07 → 20/08/2026</t>
  </si>
  <si>
    <t>PREMIAÇÃO — LARISSA (Equipe Paola | &lt;1 ano) — 21/07 → 20/08/2026</t>
  </si>
  <si>
    <t>21/07/2026</t>
  </si>
  <si>
    <t>BISCOITOS ZEZÉ</t>
  </si>
  <si>
    <t>https://beta.agendor.com.br/tasks?organizationId=13575800</t>
  </si>
  <si>
    <t>SISLAM TECNOLOGIA AMBIENTAL LTDA</t>
  </si>
  <si>
    <t>https://beta.agendor.com.br/tasks?organizationId=11581334</t>
  </si>
  <si>
    <t>MOINHO DO NORDESTE S/A</t>
  </si>
  <si>
    <t>https://beta.agendor.com.br/tasks?organizationId=19119702</t>
  </si>
  <si>
    <t>FRIOLACK</t>
  </si>
  <si>
    <t>https://beta.agendor.com.br/tasks?organizationId=31440415</t>
  </si>
  <si>
    <t>SAUR EQUIPAMENTOS  SA</t>
  </si>
  <si>
    <t>https://beta.agendor.com.br/tasks?organizationId=545223</t>
  </si>
  <si>
    <t>Solgreen Energia Ltda</t>
  </si>
  <si>
    <t>https://beta.agendor.com.br/tasks?organizationId=43412838</t>
  </si>
  <si>
    <t>TRANSPORTES BIANO LTDA</t>
  </si>
  <si>
    <t>https://beta.agendor.com.br/tasks?organizationId=36166825</t>
  </si>
  <si>
    <t>CAMARGO DISTRIBUIDORA DE PRODUTOS QUIMICOS LTDA</t>
  </si>
  <si>
    <t>https://beta.agendor.com.br/tasks?organizationId=45854406</t>
  </si>
  <si>
    <t>AEROMATRIZES INDUSTRIA DE MATRIZES LTDA</t>
  </si>
  <si>
    <t>https://beta.agendor.com.br/tasks?organizationId=46028194</t>
  </si>
  <si>
    <t>UNIMED - NORDESTE RS</t>
  </si>
  <si>
    <t>https://beta.agendor.com.br/tasks?organizationId=19537589</t>
  </si>
  <si>
    <t>COOPERATIVA VINICOLA GARIBALDI LTDA</t>
  </si>
  <si>
    <t>https://beta.agendor.com.br/tasks?organizationId=47477473</t>
  </si>
  <si>
    <t>RHODOSS IMPLEMENTOS RODOVIARIOS LTDA</t>
  </si>
  <si>
    <t>https://beta.agendor.com.br/tasks?organizationId=546496</t>
  </si>
  <si>
    <t>SINODAL</t>
  </si>
  <si>
    <t>https://beta.agendor.com.br/tasks?organizationId=41661502</t>
  </si>
  <si>
    <t>ASTORIA PAPEIS LTDA</t>
  </si>
  <si>
    <t>https://beta.agendor.com.br/tasks?organizationId=39778126</t>
  </si>
  <si>
    <t>CONSTRUTORA VIERO LTDA</t>
  </si>
  <si>
    <t>https://beta.agendor.com.br/tasks?organizationId=555491</t>
  </si>
  <si>
    <t>14 N / 2 F</t>
  </si>
  <si>
    <t>PREMIAÇÃO — ANA BELLE (Equipe Paola | &lt;1 ano) — 21/07 → 20/08/2026</t>
  </si>
  <si>
    <t>NOVVALIGHT</t>
  </si>
  <si>
    <t>https://beta.agendor.com.br/tasks?organizationId=43507041</t>
  </si>
  <si>
    <t>SHIVA PLASTICOS</t>
  </si>
  <si>
    <t>https://beta.agendor.com.br/tasks?organizationId=33599117</t>
  </si>
  <si>
    <t>PROMEFARMA MEDICAMENTOS E PRODUTOS HOSPITALARES LTDA</t>
  </si>
  <si>
    <t>https://beta.agendor.com.br/tasks?organizationId=50280301</t>
  </si>
  <si>
    <t>30/07/2026</t>
  </si>
  <si>
    <t>JALOTO TRANSPORTES LTDA</t>
  </si>
  <si>
    <t>https://beta.agendor.com.br/tasks?organizationId=553124</t>
  </si>
  <si>
    <t>COMTRAFO TRANSFORMADORES SA</t>
  </si>
  <si>
    <t>https://beta.agendor.com.br/tasks?organizationId=551298</t>
  </si>
  <si>
    <t>BR Fértil S/A</t>
  </si>
  <si>
    <t>https://beta.agendor.com.br/tasks?organizationId=28105457</t>
  </si>
  <si>
    <t>VISUAL SISTEMAS ELETRONICOS LTDA</t>
  </si>
  <si>
    <t>https://beta.agendor.com.br/tasks?organizationId=552511</t>
  </si>
  <si>
    <t>Masterluz Materiais Eletricos</t>
  </si>
  <si>
    <t>https://beta.agendor.com.br/tasks?organizationId=50870215</t>
  </si>
  <si>
    <t>DISPEC DO BRASIL INDUSTRIA E COMERCIO DE PRODUTOS AGROPECUARIOS LTDA</t>
  </si>
  <si>
    <t>https://beta.agendor.com.br/tasks?organizationId=35306713</t>
  </si>
  <si>
    <t>Rodoviario Afonso</t>
  </si>
  <si>
    <t>https://beta.agendor.com.br/tasks?organizationId=39778429</t>
  </si>
  <si>
    <t>9 N / 1 F</t>
  </si>
  <si>
    <t>PREMIAÇÃO — LETICIA (Equipe Paola | +1 ano) — 21/07 → 20/08/2026</t>
  </si>
  <si>
    <t>PREMIAÇÃO — ANA BEATRIZ (Equipe Paola | +1 ano) — 21/07 → 20/08/2026</t>
  </si>
  <si>
    <t>PREMIAÇÃO — LAWANNY (Equipe Paola | &lt;1 ano) — 21/07 → 20/08/2026</t>
  </si>
  <si>
    <t>Tecsys do Brasil Industrial Ltda</t>
  </si>
  <si>
    <t>https://beta.agendor.com.br/tasks?organizationId=12411528</t>
  </si>
  <si>
    <t>FARMA VISION IMPORTACAO E EXPORTACAO DE MEDICAMENTOS LTDA</t>
  </si>
  <si>
    <t>https://beta.agendor.com.br/tasks?organizationId=49610761</t>
  </si>
  <si>
    <t>ENGEPER</t>
  </si>
  <si>
    <t>https://beta.agendor.com.br/tasks?organizationId=40784828</t>
  </si>
  <si>
    <t>ANACIREMA TRANSPORTES LTDA</t>
  </si>
  <si>
    <t>https://beta.agendor.com.br/tasks?organizationId=37100749</t>
  </si>
  <si>
    <t>SIRVA</t>
  </si>
  <si>
    <t>https://beta.agendor.com.br/tasks?organizationId=46469326</t>
  </si>
  <si>
    <t>Estratégia Educacional Participações S/A</t>
  </si>
  <si>
    <t>https://beta.agendor.com.br/tasks?organizationId=26782504</t>
  </si>
  <si>
    <t>LZN LOGISTICA</t>
  </si>
  <si>
    <t>https://beta.agendor.com.br/tasks?organizationId=14638717</t>
  </si>
  <si>
    <t>DOCILE ALIMENTOS</t>
  </si>
  <si>
    <t>https://beta.agendor.com.br/tasks?organizationId=28956975</t>
  </si>
  <si>
    <t>APATEJ</t>
  </si>
  <si>
    <t>https://beta.agendor.com.br/tasks?organizationId=35035614</t>
  </si>
  <si>
    <t>LINS AGROINDUSTRIAL S.A.</t>
  </si>
  <si>
    <t>https://beta.agendor.com.br/tasks?organizationId=14638703</t>
  </si>
  <si>
    <t>Nipotec Industria Comercio</t>
  </si>
  <si>
    <t>https://beta.agendor.com.br/tasks?organizationId=41804352</t>
  </si>
  <si>
    <t>VAREJAO TINTAS LTDA</t>
  </si>
  <si>
    <t>https://beta.agendor.com.br/tasks?organizationId=50128975</t>
  </si>
  <si>
    <t>BELLMER DO BRASIL LTDA</t>
  </si>
  <si>
    <t>https://beta.agendor.com.br/tasks?organizationId=35236481</t>
  </si>
  <si>
    <t>Silikonbrasil</t>
  </si>
  <si>
    <t>https://beta.agendor.com.br/tasks?organizationId=34875329</t>
  </si>
  <si>
    <t>AUTO POSTA GIGIO LTDA</t>
  </si>
  <si>
    <t>https://beta.agendor.com.br/tasks?organizationId=52814278</t>
  </si>
  <si>
    <t>Plastin Indústria e Comércio Tintas Vernizes Ltda</t>
  </si>
  <si>
    <t>https://beta.agendor.com.br/tasks?organizationId=21109033</t>
  </si>
  <si>
    <t>ALEPH COMEX</t>
  </si>
  <si>
    <t>https://beta.agendor.com.br/tasks?organizationId=48006560</t>
  </si>
  <si>
    <t>ATIVA DISTRIBUIÇÃO E LOGÍSTICA</t>
  </si>
  <si>
    <t>https://beta.agendor.com.br/tasks?organizationId=2679621</t>
  </si>
  <si>
    <t>R. NASCIMENTO CONSTRUTORA</t>
  </si>
  <si>
    <t>https://beta.agendor.com.br/tasks?organizationId=48495990</t>
  </si>
  <si>
    <t>COMEP INDUSTRIA E COMERCIO LTDA</t>
  </si>
  <si>
    <t>https://beta.agendor.com.br/tasks?organizationId=541836</t>
  </si>
  <si>
    <t>HELIBOMBAS - INDUSTRIA E COMERCIO DE EQUIPAMENTOS</t>
  </si>
  <si>
    <t>https://beta.agendor.com.br/tasks?organizationId=52848117</t>
  </si>
  <si>
    <t>FLOWSCIENCE INSTRUMENTS COMERCIO LTDA</t>
  </si>
  <si>
    <t>https://beta.agendor.com.br/tasks?organizationId=40317938</t>
  </si>
  <si>
    <t>Vicunha Têxtil</t>
  </si>
  <si>
    <t>https://beta.agendor.com.br/tasks?organizationId=903683</t>
  </si>
  <si>
    <t>23 N / 1 F</t>
  </si>
  <si>
    <t>PREMIAÇÃO — RAILANNE (Equipe Paola | &lt;1 ano) — 21/07 → 20/08/2026</t>
  </si>
  <si>
    <t>Skylack Tintas e Vernizes Ltda. - EPP</t>
  </si>
  <si>
    <t>https://beta.agendor.com.br/tasks?organizationId=13022882</t>
  </si>
  <si>
    <t>NORSK HYDRO BRASIL LTDA</t>
  </si>
  <si>
    <t>https://beta.agendor.com.br/tasks?organizationId=549171</t>
  </si>
  <si>
    <t>WM DA ROCHA FILHO VEICULOS</t>
  </si>
  <si>
    <t>https://beta.agendor.com.br/tasks?organizationId=52814214</t>
  </si>
  <si>
    <t>SIBRA VAC MECANICA SALTENSE LTDA</t>
  </si>
  <si>
    <t>https://beta.agendor.com.br/tasks?organizationId=38338845</t>
  </si>
  <si>
    <t>ELECTRA POWER GERACAO DE ENERGIA S.A</t>
  </si>
  <si>
    <t>https://beta.agendor.com.br/tasks?organizationId=52634466</t>
  </si>
  <si>
    <t>LOC SOLUTION - LOCACAO EQUIPAMENTOS PARA CLASSIFICACAO DE GRAOS LTDA</t>
  </si>
  <si>
    <t>https://beta.agendor.com.br/tasks?organizationId=39778628</t>
  </si>
  <si>
    <t>6 N / 0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</si>
</sst>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9" x14ac:knownFonts="1">
    <font>
      <color theme="1"/>
      <family val="2"/>
      <scheme val="minor"/>
      <sz val="11"/>
      <name val="Calibri"/>
    </font>
    <font>
      <b/>
      <color rgb="FFFFFFFF"/>
      <sz val="14"/>
      <name val="Arial Narrow"/>
    </font>
    <font>
      <b/>
      <color rgb="FFFFFFFF"/>
      <sz val="10"/>
      <name val="Arial Narrow"/>
    </font>
    <font>
      <name val="Arial Narrow"/>
    </font>
    <font>
      <b/>
    </font>
    <font>
      <b/>
      <name val="Arial Narrow"/>
    </font>
    <font>
      <i/>
      <name val="Arial Narrow"/>
    </font>
    <font>
      <b/>
      <sz val="12"/>
      <name val="Arial Narrow"/>
    </font>
    <font>
      <b/>
      <sz val="12"/>
    </font>
    <font>
      <b/>
      <color rgb="FFFFFFFF"/>
      <sz val="12"/>
      <name val="Arial Narrow"/>
    </font>
    <font>
      <b/>
      <color rgb="FF1B2A4A"/>
      <sz val="9"/>
    </font>
    <font>
      <b/>
      <color rgb="FF2E6B30"/>
      <sz val="9"/>
    </font>
    <font>
      <b/>
      <color rgb="FF7A6000"/>
      <sz val="9"/>
    </font>
    <font>
      <b/>
      <color rgb="FF8B3A00"/>
      <sz val="9"/>
    </font>
    <font>
      <i/>
      <color rgb="FF555555"/>
      <sz val="9"/>
    </font>
    <font>
      <i/>
      <color rgb="FF888888"/>
    </font>
    <font>
      <b/>
      <sz val="11"/>
      <name val="Arial Narrow"/>
    </font>
    <font>
      <b/>
      <color rgb="FFFFFFFF"/>
      <sz val="11"/>
      <name val="Arial Narrow"/>
    </font>
    <font>
      <b/>
      <i/>
      <color rgb="FF1B2A4A"/>
      <sz val="9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1A4A2E"/>
      </patternFill>
    </fill>
    <fill>
      <patternFill patternType="solid">
        <fgColor rgb="FFD6EBCD"/>
      </patternFill>
    </fill>
    <fill>
      <patternFill patternType="solid">
        <fgColor rgb="FFFFF0CC"/>
      </patternFill>
    </fill>
    <fill>
      <patternFill patternType="solid">
        <fgColor rgb="FFD6E4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4" borderId="0" xfId="0" applyFont="1" applyFill="1"/>
    <xf numFmtId="0" fontId="14" fillId="0" borderId="0" xfId="0" applyFont="1"/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15" fillId="0" borderId="0" xfId="0" applyFont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horizontal="right" vertical="center"/>
    </xf>
    <xf numFmtId="0" fontId="16" fillId="0" borderId="0" xfId="0" applyFont="1"/>
    <xf numFmtId="164" fontId="16" fillId="0" borderId="0" xfId="0" applyNumberFormat="1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3"/>
  <sheetFormatPr defaultRowHeight="15" outlineLevelRow="0" outlineLevelCol="0" x14ac:dyDescent="55"/>
  <cols>
    <col min="1" max="1" width="3" customWidth="1"/>
    <col min="2" max="2" width="25" customWidth="1"/>
    <col min="3" max="4" width="8" customWidth="1"/>
    <col min="5" max="5" width="14" customWidth="1"/>
    <col min="6" max="6" width="18" customWidth="1"/>
    <col min="7" max="8" width="13" customWidth="1"/>
    <col min="9" max="9" width="20" customWidth="1"/>
    <col min="10" max="10" width="16" customWidth="1"/>
  </cols>
  <sheetData>
    <row r="2" ht="36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ht="18" customHeight="1" spans="1:10" x14ac:dyDescent="0.25">
      <c r="A4" t="s">
        <v>1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ht="22" customHeight="1" spans="1:10" x14ac:dyDescent="0.25">
      <c r="A5" s="3" t="s">
        <v>1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ht="18" customHeight="1" spans="1:10" x14ac:dyDescent="0.25">
      <c r="A6" t="s">
        <v>1</v>
      </c>
      <c r="B6" s="4" t="s">
        <v>12</v>
      </c>
      <c r="C6">
        <v>11</v>
      </c>
      <c r="D6">
        <v>5</v>
      </c>
      <c r="E6">
        <v>16</v>
      </c>
      <c r="F6" s="5">
        <v>155</v>
      </c>
      <c r="G6" s="6">
        <v>6</v>
      </c>
      <c r="H6" s="5" t="s">
        <v>13</v>
      </c>
      <c r="I6" s="5">
        <v>750</v>
      </c>
      <c r="J6" s="7">
        <v>905</v>
      </c>
    </row>
    <row r="7" ht="18" customHeight="1" spans="1:10" x14ac:dyDescent="0.25">
      <c r="A7" t="s">
        <v>1</v>
      </c>
      <c r="B7" s="4" t="s">
        <v>14</v>
      </c>
      <c r="C7">
        <v>0</v>
      </c>
      <c r="D7">
        <v>0</v>
      </c>
      <c r="E7">
        <v>0</v>
      </c>
      <c r="F7" s="5">
        <v>0</v>
      </c>
      <c r="G7" s="6">
        <v>0</v>
      </c>
      <c r="H7" s="5" t="s">
        <v>13</v>
      </c>
      <c r="I7" s="5">
        <v>0</v>
      </c>
      <c r="J7" s="7">
        <v>0</v>
      </c>
    </row>
    <row r="8" ht="18" customHeight="1" spans="1:10" x14ac:dyDescent="0.25">
      <c r="A8" t="s">
        <v>1</v>
      </c>
      <c r="B8" s="4" t="s">
        <v>15</v>
      </c>
      <c r="C8">
        <v>15</v>
      </c>
      <c r="D8">
        <v>1</v>
      </c>
      <c r="E8">
        <v>16</v>
      </c>
      <c r="F8" s="5">
        <v>117.5</v>
      </c>
      <c r="G8" s="6">
        <v>2</v>
      </c>
      <c r="H8" s="5" t="s">
        <v>13</v>
      </c>
      <c r="I8" s="5">
        <v>200</v>
      </c>
      <c r="J8" s="7">
        <v>317.5</v>
      </c>
    </row>
    <row r="9" ht="18" customHeight="1" spans="1:10" x14ac:dyDescent="0.25">
      <c r="A9" t="s">
        <v>1</v>
      </c>
      <c r="B9" s="4" t="s">
        <v>16</v>
      </c>
      <c r="C9">
        <v>17</v>
      </c>
      <c r="D9">
        <v>0</v>
      </c>
      <c r="E9">
        <v>17</v>
      </c>
      <c r="F9" s="5">
        <v>127.5</v>
      </c>
      <c r="G9" s="6">
        <v>1</v>
      </c>
      <c r="H9" s="5" t="s">
        <v>13</v>
      </c>
      <c r="I9" s="5">
        <v>100</v>
      </c>
      <c r="J9" s="7">
        <v>227.5</v>
      </c>
    </row>
    <row r="10" ht="18" customHeight="1" spans="1:10" x14ac:dyDescent="0.25">
      <c r="A10" t="s">
        <v>1</v>
      </c>
      <c r="B10" s="4" t="s">
        <v>17</v>
      </c>
      <c r="C10">
        <v>0</v>
      </c>
      <c r="D10">
        <v>0</v>
      </c>
      <c r="E10">
        <v>0</v>
      </c>
      <c r="F10" s="5">
        <v>0</v>
      </c>
      <c r="G10" s="6">
        <v>0</v>
      </c>
      <c r="H10" s="5" t="s">
        <v>13</v>
      </c>
      <c r="I10" s="5">
        <v>0</v>
      </c>
      <c r="J10" s="7">
        <v>0</v>
      </c>
    </row>
    <row r="11" ht="18" customHeight="1" spans="1:10" x14ac:dyDescent="0.25">
      <c r="A11" t="s">
        <v>1</v>
      </c>
      <c r="B11" s="8" t="s">
        <v>18</v>
      </c>
      <c r="C11" t="s">
        <v>1</v>
      </c>
      <c r="D11" t="s">
        <v>1</v>
      </c>
      <c r="E11" t="s">
        <v>1</v>
      </c>
      <c r="F11" s="7">
        <v>400</v>
      </c>
      <c r="G11">
        <v>9</v>
      </c>
      <c r="H11" t="s">
        <v>1</v>
      </c>
      <c r="I11" s="7">
        <v>1050</v>
      </c>
      <c r="J11" s="7">
        <v>1450</v>
      </c>
    </row>
    <row r="13" ht="18" customHeight="1" spans="1:10" x14ac:dyDescent="0.25">
      <c r="A13" t="s">
        <v>1</v>
      </c>
      <c r="B13" s="9" t="s">
        <v>19</v>
      </c>
      <c r="C13" s="9"/>
      <c r="D13" s="9"/>
      <c r="E13" s="9"/>
      <c r="F13" s="9"/>
      <c r="G13" s="9"/>
      <c r="H13" s="9"/>
      <c r="I13" s="9"/>
      <c r="J13" s="9"/>
    </row>
    <row r="14" ht="22" customHeight="1" spans="1:10" x14ac:dyDescent="0.25">
      <c r="A14" s="10" t="s">
        <v>1</v>
      </c>
      <c r="B14" s="10" t="s">
        <v>3</v>
      </c>
      <c r="C14" s="10" t="s">
        <v>4</v>
      </c>
      <c r="D14" s="10" t="s">
        <v>5</v>
      </c>
      <c r="E14" s="10" t="s">
        <v>6</v>
      </c>
      <c r="F14" s="10" t="s">
        <v>7</v>
      </c>
      <c r="G14" s="10" t="s">
        <v>8</v>
      </c>
      <c r="H14" s="10" t="s">
        <v>9</v>
      </c>
      <c r="I14" s="10" t="s">
        <v>10</v>
      </c>
      <c r="J14" s="10" t="s">
        <v>11</v>
      </c>
    </row>
    <row r="15" ht="18" customHeight="1" spans="1:10" x14ac:dyDescent="0.25">
      <c r="A15" t="s">
        <v>1</v>
      </c>
      <c r="B15" s="4" t="s">
        <v>20</v>
      </c>
      <c r="C15">
        <v>14</v>
      </c>
      <c r="D15">
        <v>2</v>
      </c>
      <c r="E15">
        <v>16</v>
      </c>
      <c r="F15" s="5">
        <v>115</v>
      </c>
      <c r="G15" s="6">
        <v>0</v>
      </c>
      <c r="H15" s="5" t="s">
        <v>13</v>
      </c>
      <c r="I15" s="5">
        <v>0</v>
      </c>
      <c r="J15" s="7">
        <v>115</v>
      </c>
    </row>
    <row r="16" ht="18" customHeight="1" spans="1:10" x14ac:dyDescent="0.25">
      <c r="A16" t="s">
        <v>1</v>
      </c>
      <c r="B16" s="4" t="s">
        <v>21</v>
      </c>
      <c r="C16">
        <v>9</v>
      </c>
      <c r="D16">
        <v>1</v>
      </c>
      <c r="E16">
        <v>10</v>
      </c>
      <c r="F16" s="5">
        <v>72.5</v>
      </c>
      <c r="G16" s="6">
        <v>0</v>
      </c>
      <c r="H16" s="5" t="s">
        <v>13</v>
      </c>
      <c r="I16" s="5">
        <v>0</v>
      </c>
      <c r="J16" s="7">
        <v>72.5</v>
      </c>
    </row>
    <row r="17" ht="18" customHeight="1" spans="1:10" x14ac:dyDescent="0.25">
      <c r="A17" t="s">
        <v>1</v>
      </c>
      <c r="B17" s="4" t="s">
        <v>22</v>
      </c>
      <c r="C17">
        <v>0</v>
      </c>
      <c r="D17">
        <v>0</v>
      </c>
      <c r="E17">
        <v>0</v>
      </c>
      <c r="F17" s="5">
        <v>0</v>
      </c>
      <c r="G17" s="6">
        <v>0</v>
      </c>
      <c r="H17" s="5" t="s">
        <v>13</v>
      </c>
      <c r="I17" s="5">
        <v>0</v>
      </c>
      <c r="J17" s="7">
        <v>0</v>
      </c>
    </row>
    <row r="18" ht="18" customHeight="1" spans="1:10" x14ac:dyDescent="0.25">
      <c r="A18" t="s">
        <v>1</v>
      </c>
      <c r="B18" s="4" t="s">
        <v>23</v>
      </c>
      <c r="C18">
        <v>0</v>
      </c>
      <c r="D18">
        <v>0</v>
      </c>
      <c r="E18">
        <v>0</v>
      </c>
      <c r="F18" s="5">
        <v>0</v>
      </c>
      <c r="G18" s="6">
        <v>2</v>
      </c>
      <c r="H18" s="5" t="s">
        <v>13</v>
      </c>
      <c r="I18" s="5">
        <v>240</v>
      </c>
      <c r="J18" s="7">
        <v>240</v>
      </c>
    </row>
    <row r="19" ht="18" customHeight="1" spans="1:10" x14ac:dyDescent="0.25">
      <c r="A19" t="s">
        <v>1</v>
      </c>
      <c r="B19" s="4" t="s">
        <v>24</v>
      </c>
      <c r="C19">
        <v>23</v>
      </c>
      <c r="D19">
        <v>1</v>
      </c>
      <c r="E19">
        <v>24</v>
      </c>
      <c r="F19" s="5">
        <v>177.5</v>
      </c>
      <c r="G19" s="6">
        <v>3</v>
      </c>
      <c r="H19" s="5" t="s">
        <v>13</v>
      </c>
      <c r="I19" s="5">
        <v>300</v>
      </c>
      <c r="J19" s="7">
        <v>477.5</v>
      </c>
    </row>
    <row r="20" ht="18" customHeight="1" spans="1:10" x14ac:dyDescent="0.25">
      <c r="A20" t="s">
        <v>1</v>
      </c>
      <c r="B20" s="4" t="s">
        <v>25</v>
      </c>
      <c r="C20">
        <v>6</v>
      </c>
      <c r="D20">
        <v>0</v>
      </c>
      <c r="E20">
        <v>6</v>
      </c>
      <c r="F20" s="5">
        <v>45</v>
      </c>
      <c r="G20" s="6">
        <v>0</v>
      </c>
      <c r="H20" s="5" t="s">
        <v>13</v>
      </c>
      <c r="I20" s="5">
        <v>0</v>
      </c>
      <c r="J20" s="7">
        <v>45</v>
      </c>
    </row>
    <row r="21" ht="18" customHeight="1" spans="1:10" x14ac:dyDescent="0.25">
      <c r="A21" t="s">
        <v>1</v>
      </c>
      <c r="B21" s="8" t="s">
        <v>26</v>
      </c>
      <c r="C21" t="s">
        <v>1</v>
      </c>
      <c r="D21" t="s">
        <v>1</v>
      </c>
      <c r="E21" t="s">
        <v>1</v>
      </c>
      <c r="F21" s="7">
        <v>410</v>
      </c>
      <c r="G21">
        <v>5</v>
      </c>
      <c r="H21" t="s">
        <v>1</v>
      </c>
      <c r="I21" s="7">
        <v>540</v>
      </c>
      <c r="J21" s="7">
        <v>950</v>
      </c>
    </row>
    <row r="23" spans="1:10" x14ac:dyDescent="0.25">
      <c r="A23" t="s">
        <v>1</v>
      </c>
      <c r="B23" s="11" t="s">
        <v>27</v>
      </c>
      <c r="C23" t="s">
        <v>1</v>
      </c>
      <c r="D23" t="s">
        <v>1</v>
      </c>
      <c r="E23" t="s">
        <v>1</v>
      </c>
      <c r="F23" s="5">
        <v>0</v>
      </c>
      <c r="G23" s="6">
        <v>12</v>
      </c>
      <c r="H23" s="5" t="s">
        <v>13</v>
      </c>
      <c r="I23" s="5">
        <v>1200</v>
      </c>
      <c r="J23" s="5">
        <v>1200</v>
      </c>
    </row>
    <row r="25" ht="24" customHeight="1" spans="1:10" x14ac:dyDescent="0.25">
      <c r="A25" t="s">
        <v>1</v>
      </c>
      <c r="B25" s="12" t="s">
        <v>11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s="13">
        <v>3600</v>
      </c>
    </row>
    <row r="28" spans="1:2" x14ac:dyDescent="0.25">
      <c r="A28" t="s">
        <v>1</v>
      </c>
      <c r="B28" s="8" t="s">
        <v>28</v>
      </c>
    </row>
    <row r="29" spans="1:2" x14ac:dyDescent="0.25">
      <c r="A29" t="s">
        <v>1</v>
      </c>
      <c r="B29" t="s">
        <v>29</v>
      </c>
    </row>
    <row r="30" spans="1:6" x14ac:dyDescent="0.25">
      <c r="A30" t="s">
        <v>1</v>
      </c>
      <c r="B30" t="s">
        <v>30</v>
      </c>
      <c r="C30" t="s">
        <v>1</v>
      </c>
      <c r="D30" t="s">
        <v>1</v>
      </c>
      <c r="E30" t="s">
        <v>1</v>
      </c>
      <c r="F30" t="s">
        <v>31</v>
      </c>
    </row>
    <row r="31" spans="1:6" x14ac:dyDescent="0.25">
      <c r="A31" t="s">
        <v>1</v>
      </c>
      <c r="B31" t="s">
        <v>32</v>
      </c>
      <c r="C31" t="s">
        <v>1</v>
      </c>
      <c r="D31" t="s">
        <v>1</v>
      </c>
      <c r="E31" t="s">
        <v>1</v>
      </c>
      <c r="F31" t="s">
        <v>33</v>
      </c>
    </row>
    <row r="32" spans="1:6" x14ac:dyDescent="0.25">
      <c r="A32" t="s">
        <v>1</v>
      </c>
      <c r="B32" t="s">
        <v>34</v>
      </c>
      <c r="C32" t="s">
        <v>1</v>
      </c>
      <c r="D32" t="s">
        <v>1</v>
      </c>
      <c r="E32" t="s">
        <v>1</v>
      </c>
      <c r="F32" t="s">
        <v>35</v>
      </c>
    </row>
    <row r="33" spans="1:6" x14ac:dyDescent="0.25">
      <c r="A33" t="s">
        <v>1</v>
      </c>
      <c r="B33" t="s">
        <v>36</v>
      </c>
      <c r="C33" t="s">
        <v>1</v>
      </c>
      <c r="D33" t="s">
        <v>1</v>
      </c>
      <c r="E33" t="s">
        <v>1</v>
      </c>
      <c r="F33" t="s">
        <v>31</v>
      </c>
    </row>
    <row r="34" spans="1:6" x14ac:dyDescent="0.25">
      <c r="A34" t="s">
        <v>1</v>
      </c>
      <c r="B34" t="s">
        <v>37</v>
      </c>
      <c r="C34" t="s">
        <v>1</v>
      </c>
      <c r="D34" t="s">
        <v>1</v>
      </c>
      <c r="E34" t="s">
        <v>1</v>
      </c>
      <c r="F34" t="s">
        <v>38</v>
      </c>
    </row>
    <row r="35" spans="1:2" x14ac:dyDescent="0.25">
      <c r="A35" t="s">
        <v>1</v>
      </c>
      <c r="B35" t="s">
        <v>39</v>
      </c>
    </row>
    <row r="36" spans="1:6" x14ac:dyDescent="0.25">
      <c r="A36" t="s">
        <v>1</v>
      </c>
      <c r="B36" t="s">
        <v>30</v>
      </c>
      <c r="C36" t="s">
        <v>1</v>
      </c>
      <c r="D36" t="s">
        <v>1</v>
      </c>
      <c r="E36" t="s">
        <v>1</v>
      </c>
      <c r="F36" t="s">
        <v>40</v>
      </c>
    </row>
    <row r="37" spans="1:6" x14ac:dyDescent="0.25">
      <c r="A37" t="s">
        <v>1</v>
      </c>
      <c r="B37" t="s">
        <v>32</v>
      </c>
      <c r="C37" t="s">
        <v>1</v>
      </c>
      <c r="D37" t="s">
        <v>1</v>
      </c>
      <c r="E37" t="s">
        <v>1</v>
      </c>
      <c r="F37" t="s">
        <v>41</v>
      </c>
    </row>
    <row r="38" spans="1:6" x14ac:dyDescent="0.25">
      <c r="A38" t="s">
        <v>1</v>
      </c>
      <c r="B38" t="s">
        <v>34</v>
      </c>
      <c r="C38" t="s">
        <v>1</v>
      </c>
      <c r="D38" t="s">
        <v>1</v>
      </c>
      <c r="E38" t="s">
        <v>1</v>
      </c>
      <c r="F38" t="s">
        <v>35</v>
      </c>
    </row>
    <row r="39" spans="1:6" x14ac:dyDescent="0.25">
      <c r="A39" t="s">
        <v>1</v>
      </c>
      <c r="B39" t="s">
        <v>36</v>
      </c>
      <c r="C39" t="s">
        <v>1</v>
      </c>
      <c r="D39" t="s">
        <v>1</v>
      </c>
      <c r="E39" t="s">
        <v>1</v>
      </c>
      <c r="F39" t="s">
        <v>40</v>
      </c>
    </row>
    <row r="40" spans="1:6" x14ac:dyDescent="0.25">
      <c r="A40" t="s">
        <v>1</v>
      </c>
      <c r="B40" t="s">
        <v>42</v>
      </c>
      <c r="C40" t="s">
        <v>1</v>
      </c>
      <c r="D40" t="s">
        <v>1</v>
      </c>
      <c r="E40" t="s">
        <v>1</v>
      </c>
      <c r="F40" t="s">
        <v>43</v>
      </c>
    </row>
    <row r="41" spans="1:6" x14ac:dyDescent="0.25">
      <c r="A41" t="s">
        <v>1</v>
      </c>
      <c r="B41" t="s">
        <v>44</v>
      </c>
      <c r="C41" t="s">
        <v>1</v>
      </c>
      <c r="D41" t="s">
        <v>1</v>
      </c>
      <c r="E41" t="s">
        <v>1</v>
      </c>
      <c r="F41" t="s">
        <v>45</v>
      </c>
    </row>
    <row r="42" spans="1:6" x14ac:dyDescent="0.25">
      <c r="A42" t="s">
        <v>1</v>
      </c>
      <c r="B42" t="s">
        <v>46</v>
      </c>
      <c r="C42" t="s">
        <v>1</v>
      </c>
      <c r="D42" t="s">
        <v>1</v>
      </c>
      <c r="E42" t="s">
        <v>1</v>
      </c>
      <c r="F42" t="s">
        <v>47</v>
      </c>
    </row>
    <row r="43" spans="1:2" x14ac:dyDescent="0.25">
      <c r="A43" t="s">
        <v>1</v>
      </c>
      <c r="B43" t="s">
        <v>48</v>
      </c>
    </row>
  </sheetData>
  <mergeCells count="3">
    <mergeCell ref="B2:J2"/>
    <mergeCell ref="B4:J4"/>
    <mergeCell ref="B13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49</v>
      </c>
      <c r="B1" s="14"/>
      <c r="C1" s="14"/>
      <c r="D1" s="14"/>
      <c r="E1" s="14"/>
    </row>
    <row r="3" ht="14" customHeight="1" spans="1:4" x14ac:dyDescent="0.25">
      <c r="A3" s="15" t="s">
        <v>50</v>
      </c>
      <c r="B3" s="16" t="s">
        <v>51</v>
      </c>
      <c r="C3" s="17" t="s">
        <v>52</v>
      </c>
      <c r="D3" s="18" t="s">
        <v>53</v>
      </c>
    </row>
    <row r="5" ht="18" customHeight="1" spans="1:5" x14ac:dyDescent="0.25">
      <c r="A5" s="19" t="s">
        <v>54</v>
      </c>
      <c r="B5" s="19"/>
      <c r="C5" s="19"/>
      <c r="D5" s="19"/>
      <c r="E5" s="19"/>
    </row>
    <row r="6" ht="13" customHeight="1" spans="1:2" x14ac:dyDescent="0.25">
      <c r="A6" t="s">
        <v>1</v>
      </c>
      <c r="B6" s="20" t="s">
        <v>55</v>
      </c>
    </row>
    <row r="7" ht="22" customHeight="1" spans="1:5" x14ac:dyDescent="0.25">
      <c r="A7" s="21" t="s">
        <v>56</v>
      </c>
      <c r="B7" s="21" t="s">
        <v>57</v>
      </c>
      <c r="C7" s="21" t="s">
        <v>58</v>
      </c>
      <c r="D7" s="21" t="s">
        <v>59</v>
      </c>
      <c r="E7" s="21" t="s">
        <v>60</v>
      </c>
    </row>
    <row r="8" ht="18" customHeight="1" spans="1:5" x14ac:dyDescent="0.25">
      <c r="A8" s="22" t="s">
        <v>61</v>
      </c>
      <c r="B8" s="23" t="s">
        <v>62</v>
      </c>
      <c r="C8" s="23" t="s">
        <v>63</v>
      </c>
      <c r="D8" s="24">
        <f>=IF(ROW()-8+1&lt;=5,120,IF(ROW()-8+1&lt;=10,150,180))</f>
        <v>120</v>
      </c>
      <c r="E8" s="23" t="s">
        <v>64</v>
      </c>
    </row>
    <row r="9" ht="18" customHeight="1" spans="1:5" x14ac:dyDescent="0.25">
      <c r="A9" s="22" t="s">
        <v>65</v>
      </c>
      <c r="B9" s="23" t="s">
        <v>66</v>
      </c>
      <c r="C9" s="23" t="s">
        <v>67</v>
      </c>
      <c r="D9" s="24">
        <f>=IF(ROW()-8+1&lt;=5,120,IF(ROW()-8+1&lt;=10,150,180))</f>
        <v>120</v>
      </c>
      <c r="E9" s="23" t="s">
        <v>68</v>
      </c>
    </row>
    <row r="10" ht="18" customHeight="1" spans="1:5" x14ac:dyDescent="0.25">
      <c r="A10" s="22" t="s">
        <v>69</v>
      </c>
      <c r="B10" s="23" t="s">
        <v>66</v>
      </c>
      <c r="C10" s="23" t="s">
        <v>67</v>
      </c>
      <c r="D10" s="24">
        <f>=IF(ROW()-8+1&lt;=5,120,IF(ROW()-8+1&lt;=10,150,180))</f>
        <v>120</v>
      </c>
      <c r="E10" s="23" t="s">
        <v>68</v>
      </c>
    </row>
    <row r="11" ht="18" customHeight="1" spans="1:5" x14ac:dyDescent="0.25">
      <c r="A11" s="22" t="s">
        <v>69</v>
      </c>
      <c r="B11" s="23" t="s">
        <v>66</v>
      </c>
      <c r="C11" s="23" t="s">
        <v>67</v>
      </c>
      <c r="D11" s="24">
        <f>=IF(ROW()-8+1&lt;=5,120,IF(ROW()-8+1&lt;=10,150,180))</f>
        <v>120</v>
      </c>
      <c r="E11" s="23" t="s">
        <v>68</v>
      </c>
    </row>
    <row r="12" ht="18" customHeight="1" spans="1:5" x14ac:dyDescent="0.25">
      <c r="A12" s="22" t="s">
        <v>70</v>
      </c>
      <c r="B12" s="23" t="s">
        <v>1</v>
      </c>
      <c r="C12" s="23" t="s">
        <v>71</v>
      </c>
      <c r="D12" s="24">
        <f>=IF(ROW()-8+1&lt;=5,120,IF(ROW()-8+1&lt;=10,150,180))</f>
        <v>120</v>
      </c>
      <c r="E12" s="23" t="s">
        <v>1</v>
      </c>
    </row>
    <row r="13" ht="18" customHeight="1" spans="1:5" x14ac:dyDescent="0.25">
      <c r="A13" s="25" t="s">
        <v>72</v>
      </c>
      <c r="B13" s="26" t="s">
        <v>73</v>
      </c>
      <c r="C13" s="26" t="s">
        <v>74</v>
      </c>
      <c r="D13" s="27">
        <f>=IF(ROW()-8+1&lt;=5,120,IF(ROW()-8+1&lt;=10,150,180))</f>
        <v>150</v>
      </c>
      <c r="E13" s="26" t="s">
        <v>75</v>
      </c>
    </row>
    <row r="14" ht="18" customHeight="1" spans="1:5" x14ac:dyDescent="0.25">
      <c r="A14" t="s">
        <v>1</v>
      </c>
      <c r="B14" s="8" t="s">
        <v>76</v>
      </c>
      <c r="C14" t="s">
        <v>1</v>
      </c>
      <c r="D14" s="28">
        <f>=SUM(D8:D13)</f>
        <v>750</v>
      </c>
      <c r="E14" t="s">
        <v>1</v>
      </c>
    </row>
    <row r="16" ht="18" customHeight="1" spans="1:5" x14ac:dyDescent="0.25">
      <c r="A16" s="19" t="s">
        <v>77</v>
      </c>
      <c r="B16" s="19"/>
      <c r="C16" s="19"/>
      <c r="D16" s="19"/>
      <c r="E16" s="19"/>
    </row>
    <row r="17" ht="13" customHeight="1" spans="1:2" x14ac:dyDescent="0.25">
      <c r="A17" t="s">
        <v>1</v>
      </c>
      <c r="B17" s="20" t="s">
        <v>78</v>
      </c>
    </row>
    <row r="18" ht="22" customHeight="1" spans="1:5" x14ac:dyDescent="0.25">
      <c r="A18" s="21" t="s">
        <v>56</v>
      </c>
      <c r="B18" s="21" t="s">
        <v>57</v>
      </c>
      <c r="C18" s="21" t="s">
        <v>58</v>
      </c>
      <c r="D18" s="21" t="s">
        <v>59</v>
      </c>
      <c r="E18" s="21" t="s">
        <v>60</v>
      </c>
    </row>
    <row r="19" spans="1:2" x14ac:dyDescent="0.25">
      <c r="A19" t="s">
        <v>1</v>
      </c>
      <c r="B19" s="29" t="s">
        <v>79</v>
      </c>
    </row>
    <row r="21" ht="18" customHeight="1" spans="1:5" x14ac:dyDescent="0.25">
      <c r="A21" s="19" t="s">
        <v>80</v>
      </c>
      <c r="B21" s="19"/>
      <c r="C21" s="19"/>
      <c r="D21" s="19"/>
      <c r="E21" s="19"/>
    </row>
    <row r="22" ht="13" customHeight="1" spans="1:2" x14ac:dyDescent="0.25">
      <c r="A22" t="s">
        <v>1</v>
      </c>
      <c r="B22" s="20" t="s">
        <v>78</v>
      </c>
    </row>
    <row r="23" ht="22" customHeight="1" spans="1:5" x14ac:dyDescent="0.25">
      <c r="A23" s="21" t="s">
        <v>56</v>
      </c>
      <c r="B23" s="21" t="s">
        <v>57</v>
      </c>
      <c r="C23" s="21" t="s">
        <v>58</v>
      </c>
      <c r="D23" s="21" t="s">
        <v>59</v>
      </c>
      <c r="E23" s="21" t="s">
        <v>60</v>
      </c>
    </row>
    <row r="24" ht="18" customHeight="1" spans="1:5" x14ac:dyDescent="0.25">
      <c r="A24" s="30" t="s">
        <v>81</v>
      </c>
      <c r="B24" s="31" t="s">
        <v>82</v>
      </c>
      <c r="C24" s="31" t="s">
        <v>83</v>
      </c>
      <c r="D24" s="32">
        <f>=100</f>
        <v>100</v>
      </c>
      <c r="E24" s="31" t="s">
        <v>84</v>
      </c>
    </row>
    <row r="25" ht="18" customHeight="1" spans="1:5" x14ac:dyDescent="0.25">
      <c r="A25" s="30" t="s">
        <v>85</v>
      </c>
      <c r="B25" s="31" t="s">
        <v>86</v>
      </c>
      <c r="C25" s="31" t="s">
        <v>87</v>
      </c>
      <c r="D25" s="32">
        <f>=100</f>
        <v>100</v>
      </c>
      <c r="E25" s="31" t="s">
        <v>88</v>
      </c>
    </row>
    <row r="26" ht="18" customHeight="1" spans="1:5" x14ac:dyDescent="0.25">
      <c r="A26" t="s">
        <v>1</v>
      </c>
      <c r="B26" s="8" t="s">
        <v>89</v>
      </c>
      <c r="C26" t="s">
        <v>1</v>
      </c>
      <c r="D26" s="28">
        <f>=SUM(D24:D25)</f>
        <v>200</v>
      </c>
      <c r="E26" t="s">
        <v>1</v>
      </c>
    </row>
    <row r="28" ht="18" customHeight="1" spans="1:5" x14ac:dyDescent="0.25">
      <c r="A28" s="19" t="s">
        <v>90</v>
      </c>
      <c r="B28" s="19"/>
      <c r="C28" s="19"/>
      <c r="D28" s="19"/>
      <c r="E28" s="19"/>
    </row>
    <row r="29" ht="13" customHeight="1" spans="1:2" x14ac:dyDescent="0.25">
      <c r="A29" t="s">
        <v>1</v>
      </c>
      <c r="B29" s="20" t="s">
        <v>78</v>
      </c>
    </row>
    <row r="30" ht="22" customHeight="1" spans="1:5" x14ac:dyDescent="0.25">
      <c r="A30" s="21" t="s">
        <v>56</v>
      </c>
      <c r="B30" s="21" t="s">
        <v>57</v>
      </c>
      <c r="C30" s="21" t="s">
        <v>58</v>
      </c>
      <c r="D30" s="21" t="s">
        <v>59</v>
      </c>
      <c r="E30" s="21" t="s">
        <v>60</v>
      </c>
    </row>
    <row r="31" ht="18" customHeight="1" spans="1:5" x14ac:dyDescent="0.25">
      <c r="A31" s="30" t="s">
        <v>91</v>
      </c>
      <c r="B31" s="31" t="s">
        <v>92</v>
      </c>
      <c r="C31" s="31" t="s">
        <v>93</v>
      </c>
      <c r="D31" s="32">
        <f>=100</f>
        <v>100</v>
      </c>
      <c r="E31" s="31" t="s">
        <v>94</v>
      </c>
    </row>
    <row r="32" ht="18" customHeight="1" spans="1:5" x14ac:dyDescent="0.25">
      <c r="A32" t="s">
        <v>1</v>
      </c>
      <c r="B32" s="8" t="s">
        <v>95</v>
      </c>
      <c r="C32" t="s">
        <v>1</v>
      </c>
      <c r="D32" s="28">
        <f>=SUM(D31:D31)</f>
        <v>100</v>
      </c>
      <c r="E32" t="s">
        <v>1</v>
      </c>
    </row>
    <row r="34" ht="18" customHeight="1" spans="1:5" x14ac:dyDescent="0.25">
      <c r="A34" s="19" t="s">
        <v>96</v>
      </c>
      <c r="B34" s="19"/>
      <c r="C34" s="19"/>
      <c r="D34" s="19"/>
      <c r="E34" s="19"/>
    </row>
    <row r="35" ht="13" customHeight="1" spans="1:2" x14ac:dyDescent="0.25">
      <c r="A35" t="s">
        <v>1</v>
      </c>
      <c r="B35" s="20" t="s">
        <v>78</v>
      </c>
    </row>
    <row r="36" ht="22" customHeight="1" spans="1:5" x14ac:dyDescent="0.25">
      <c r="A36" s="21" t="s">
        <v>56</v>
      </c>
      <c r="B36" s="21" t="s">
        <v>57</v>
      </c>
      <c r="C36" s="21" t="s">
        <v>58</v>
      </c>
      <c r="D36" s="21" t="s">
        <v>59</v>
      </c>
      <c r="E36" s="21" t="s">
        <v>60</v>
      </c>
    </row>
    <row r="37" spans="1:2" x14ac:dyDescent="0.25">
      <c r="A37" t="s">
        <v>1</v>
      </c>
      <c r="B37" s="29" t="s">
        <v>79</v>
      </c>
    </row>
    <row r="39" ht="18" customHeight="1" spans="1:5" x14ac:dyDescent="0.25">
      <c r="A39" s="19" t="s">
        <v>97</v>
      </c>
      <c r="B39" s="19"/>
      <c r="C39" s="19"/>
      <c r="D39" s="19"/>
      <c r="E39" s="19"/>
    </row>
    <row r="40" ht="13" customHeight="1" spans="1:2" x14ac:dyDescent="0.25">
      <c r="A40" t="s">
        <v>1</v>
      </c>
      <c r="B40" s="20" t="s">
        <v>78</v>
      </c>
    </row>
    <row r="41" ht="22" customHeight="1" spans="1:5" x14ac:dyDescent="0.25">
      <c r="A41" s="21" t="s">
        <v>56</v>
      </c>
      <c r="B41" s="21" t="s">
        <v>57</v>
      </c>
      <c r="C41" s="21" t="s">
        <v>58</v>
      </c>
      <c r="D41" s="21" t="s">
        <v>59</v>
      </c>
      <c r="E41" s="21" t="s">
        <v>60</v>
      </c>
    </row>
    <row r="42" spans="1:2" x14ac:dyDescent="0.25">
      <c r="A42" t="s">
        <v>1</v>
      </c>
      <c r="B42" s="29" t="s">
        <v>79</v>
      </c>
    </row>
    <row r="44" ht="18" customHeight="1" spans="1:5" x14ac:dyDescent="0.25">
      <c r="A44" s="19" t="s">
        <v>98</v>
      </c>
      <c r="B44" s="19"/>
      <c r="C44" s="19"/>
      <c r="D44" s="19"/>
      <c r="E44" s="19"/>
    </row>
    <row r="45" ht="13" customHeight="1" spans="1:2" x14ac:dyDescent="0.25">
      <c r="A45" t="s">
        <v>1</v>
      </c>
      <c r="B45" s="20" t="s">
        <v>78</v>
      </c>
    </row>
    <row r="46" ht="22" customHeight="1" spans="1:5" x14ac:dyDescent="0.25">
      <c r="A46" s="21" t="s">
        <v>56</v>
      </c>
      <c r="B46" s="21" t="s">
        <v>57</v>
      </c>
      <c r="C46" s="21" t="s">
        <v>58</v>
      </c>
      <c r="D46" s="21" t="s">
        <v>59</v>
      </c>
      <c r="E46" s="21" t="s">
        <v>60</v>
      </c>
    </row>
    <row r="47" spans="1:2" x14ac:dyDescent="0.25">
      <c r="A47" t="s">
        <v>1</v>
      </c>
      <c r="B47" s="29" t="s">
        <v>79</v>
      </c>
    </row>
    <row r="49" ht="18" customHeight="1" spans="1:5" x14ac:dyDescent="0.25">
      <c r="A49" s="19" t="s">
        <v>99</v>
      </c>
      <c r="B49" s="19"/>
      <c r="C49" s="19"/>
      <c r="D49" s="19"/>
      <c r="E49" s="19"/>
    </row>
    <row r="50" ht="13" customHeight="1" spans="1:2" x14ac:dyDescent="0.25">
      <c r="A50" t="s">
        <v>1</v>
      </c>
      <c r="B50" s="20" t="s">
        <v>55</v>
      </c>
    </row>
    <row r="51" ht="22" customHeight="1" spans="1:5" x14ac:dyDescent="0.25">
      <c r="A51" s="21" t="s">
        <v>56</v>
      </c>
      <c r="B51" s="21" t="s">
        <v>57</v>
      </c>
      <c r="C51" s="21" t="s">
        <v>58</v>
      </c>
      <c r="D51" s="21" t="s">
        <v>59</v>
      </c>
      <c r="E51" s="21" t="s">
        <v>60</v>
      </c>
    </row>
    <row r="52" spans="1:2" x14ac:dyDescent="0.25">
      <c r="A52" t="s">
        <v>1</v>
      </c>
      <c r="B52" s="29" t="s">
        <v>79</v>
      </c>
    </row>
    <row r="54" ht="18" customHeight="1" spans="1:5" x14ac:dyDescent="0.25">
      <c r="A54" s="19" t="s">
        <v>100</v>
      </c>
      <c r="B54" s="19"/>
      <c r="C54" s="19"/>
      <c r="D54" s="19"/>
      <c r="E54" s="19"/>
    </row>
    <row r="55" ht="13" customHeight="1" spans="1:2" x14ac:dyDescent="0.25">
      <c r="A55" t="s">
        <v>1</v>
      </c>
      <c r="B55" s="20" t="s">
        <v>55</v>
      </c>
    </row>
    <row r="56" ht="22" customHeight="1" spans="1:5" x14ac:dyDescent="0.25">
      <c r="A56" s="21" t="s">
        <v>56</v>
      </c>
      <c r="B56" s="21" t="s">
        <v>57</v>
      </c>
      <c r="C56" s="21" t="s">
        <v>58</v>
      </c>
      <c r="D56" s="21" t="s">
        <v>59</v>
      </c>
      <c r="E56" s="21" t="s">
        <v>60</v>
      </c>
    </row>
    <row r="57" ht="18" customHeight="1" spans="1:5" x14ac:dyDescent="0.25">
      <c r="A57" s="22" t="s">
        <v>65</v>
      </c>
      <c r="B57" s="23" t="s">
        <v>101</v>
      </c>
      <c r="C57" s="23" t="s">
        <v>102</v>
      </c>
      <c r="D57" s="24">
        <f>=IF(ROW()-57+1&lt;=5,120,IF(ROW()-57+1&lt;=10,150,180))</f>
        <v>120</v>
      </c>
      <c r="E57" s="23" t="s">
        <v>103</v>
      </c>
    </row>
    <row r="58" ht="18" customHeight="1" spans="1:5" x14ac:dyDescent="0.25">
      <c r="A58" s="22" t="s">
        <v>104</v>
      </c>
      <c r="B58" s="23" t="s">
        <v>105</v>
      </c>
      <c r="C58" s="23" t="s">
        <v>63</v>
      </c>
      <c r="D58" s="24">
        <f>=IF(ROW()-57+1&lt;=5,120,IF(ROW()-57+1&lt;=10,150,180))</f>
        <v>120</v>
      </c>
      <c r="E58" s="23" t="s">
        <v>106</v>
      </c>
    </row>
    <row r="59" ht="18" customHeight="1" spans="1:5" x14ac:dyDescent="0.25">
      <c r="A59" t="s">
        <v>1</v>
      </c>
      <c r="B59" s="8" t="s">
        <v>89</v>
      </c>
      <c r="C59" t="s">
        <v>1</v>
      </c>
      <c r="D59" s="28">
        <f>=SUM(D57:D58)</f>
        <v>240</v>
      </c>
      <c r="E59" t="s">
        <v>1</v>
      </c>
    </row>
    <row r="61" ht="18" customHeight="1" spans="1:5" x14ac:dyDescent="0.25">
      <c r="A61" s="19" t="s">
        <v>107</v>
      </c>
      <c r="B61" s="19"/>
      <c r="C61" s="19"/>
      <c r="D61" s="19"/>
      <c r="E61" s="19"/>
    </row>
    <row r="62" ht="13" customHeight="1" spans="1:2" x14ac:dyDescent="0.25">
      <c r="A62" t="s">
        <v>1</v>
      </c>
      <c r="B62" s="20" t="s">
        <v>78</v>
      </c>
    </row>
    <row r="63" ht="22" customHeight="1" spans="1:5" x14ac:dyDescent="0.25">
      <c r="A63" s="21" t="s">
        <v>56</v>
      </c>
      <c r="B63" s="21" t="s">
        <v>57</v>
      </c>
      <c r="C63" s="21" t="s">
        <v>58</v>
      </c>
      <c r="D63" s="21" t="s">
        <v>59</v>
      </c>
      <c r="E63" s="21" t="s">
        <v>60</v>
      </c>
    </row>
    <row r="64" ht="18" customHeight="1" spans="1:5" x14ac:dyDescent="0.25">
      <c r="A64" s="30" t="s">
        <v>108</v>
      </c>
      <c r="B64" s="31" t="s">
        <v>109</v>
      </c>
      <c r="C64" s="31" t="s">
        <v>1</v>
      </c>
      <c r="D64" s="32">
        <f>=100</f>
        <v>100</v>
      </c>
      <c r="E64" s="31" t="s">
        <v>110</v>
      </c>
    </row>
    <row r="65" ht="18" customHeight="1" spans="1:5" x14ac:dyDescent="0.25">
      <c r="A65" s="30" t="s">
        <v>108</v>
      </c>
      <c r="B65" s="31" t="s">
        <v>109</v>
      </c>
      <c r="C65" s="31" t="s">
        <v>1</v>
      </c>
      <c r="D65" s="32">
        <f>=100</f>
        <v>100</v>
      </c>
      <c r="E65" s="31" t="s">
        <v>110</v>
      </c>
    </row>
    <row r="66" ht="18" customHeight="1" spans="1:5" x14ac:dyDescent="0.25">
      <c r="A66" s="30" t="s">
        <v>108</v>
      </c>
      <c r="B66" s="31" t="s">
        <v>109</v>
      </c>
      <c r="C66" s="31" t="s">
        <v>1</v>
      </c>
      <c r="D66" s="32">
        <f>=100</f>
        <v>100</v>
      </c>
      <c r="E66" s="31" t="s">
        <v>110</v>
      </c>
    </row>
    <row r="67" ht="18" customHeight="1" spans="1:5" x14ac:dyDescent="0.25">
      <c r="A67" t="s">
        <v>1</v>
      </c>
      <c r="B67" s="8" t="s">
        <v>111</v>
      </c>
      <c r="C67" t="s">
        <v>1</v>
      </c>
      <c r="D67" s="28">
        <f>=SUM(D64:D66)</f>
        <v>300</v>
      </c>
      <c r="E67" t="s">
        <v>1</v>
      </c>
    </row>
    <row r="69" ht="18" customHeight="1" spans="1:5" x14ac:dyDescent="0.25">
      <c r="A69" s="19" t="s">
        <v>112</v>
      </c>
      <c r="B69" s="19"/>
      <c r="C69" s="19"/>
      <c r="D69" s="19"/>
      <c r="E69" s="19"/>
    </row>
    <row r="70" ht="13" customHeight="1" spans="1:2" x14ac:dyDescent="0.25">
      <c r="A70" t="s">
        <v>1</v>
      </c>
      <c r="B70" s="20" t="s">
        <v>78</v>
      </c>
    </row>
    <row r="71" ht="22" customHeight="1" spans="1:5" x14ac:dyDescent="0.25">
      <c r="A71" s="21" t="s">
        <v>56</v>
      </c>
      <c r="B71" s="21" t="s">
        <v>57</v>
      </c>
      <c r="C71" s="21" t="s">
        <v>58</v>
      </c>
      <c r="D71" s="21" t="s">
        <v>59</v>
      </c>
      <c r="E71" s="21" t="s">
        <v>60</v>
      </c>
    </row>
    <row r="72" spans="1:2" x14ac:dyDescent="0.25">
      <c r="A72" t="s">
        <v>1</v>
      </c>
      <c r="B72" s="29" t="s">
        <v>79</v>
      </c>
    </row>
    <row r="74" ht="18" customHeight="1" spans="1:5" x14ac:dyDescent="0.25">
      <c r="A74" s="19" t="s">
        <v>113</v>
      </c>
      <c r="B74" s="19"/>
      <c r="C74" s="19"/>
      <c r="D74" s="19"/>
      <c r="E74" s="19"/>
    </row>
    <row r="75" ht="13" customHeight="1" spans="1:2" x14ac:dyDescent="0.25">
      <c r="A75" t="s">
        <v>1</v>
      </c>
      <c r="B75" s="20" t="s">
        <v>78</v>
      </c>
    </row>
    <row r="76" ht="22" customHeight="1" spans="1:5" x14ac:dyDescent="0.25">
      <c r="A76" s="21" t="s">
        <v>56</v>
      </c>
      <c r="B76" s="21" t="s">
        <v>57</v>
      </c>
      <c r="C76" s="21" t="s">
        <v>58</v>
      </c>
      <c r="D76" s="21" t="s">
        <v>59</v>
      </c>
      <c r="E76" s="21" t="s">
        <v>60</v>
      </c>
    </row>
    <row r="77" ht="18" customHeight="1" spans="1:5" x14ac:dyDescent="0.25">
      <c r="A77" s="30" t="s">
        <v>114</v>
      </c>
      <c r="B77" s="31" t="s">
        <v>115</v>
      </c>
      <c r="C77" s="31" t="s">
        <v>116</v>
      </c>
      <c r="D77" s="32">
        <f>=100</f>
        <v>100</v>
      </c>
      <c r="E77" s="31" t="s">
        <v>117</v>
      </c>
    </row>
    <row r="78" ht="18" customHeight="1" spans="1:5" x14ac:dyDescent="0.25">
      <c r="A78" s="30" t="s">
        <v>118</v>
      </c>
      <c r="B78" s="31" t="s">
        <v>115</v>
      </c>
      <c r="C78" s="31" t="s">
        <v>119</v>
      </c>
      <c r="D78" s="32">
        <f>=100</f>
        <v>100</v>
      </c>
      <c r="E78" s="31" t="s">
        <v>117</v>
      </c>
    </row>
    <row r="79" ht="18" customHeight="1" spans="1:5" x14ac:dyDescent="0.25">
      <c r="A79" s="30" t="s">
        <v>65</v>
      </c>
      <c r="B79" s="31" t="s">
        <v>120</v>
      </c>
      <c r="C79" s="31" t="s">
        <v>121</v>
      </c>
      <c r="D79" s="32">
        <f>=100</f>
        <v>100</v>
      </c>
      <c r="E79" s="31" t="s">
        <v>122</v>
      </c>
    </row>
    <row r="80" ht="18" customHeight="1" spans="1:5" x14ac:dyDescent="0.25">
      <c r="A80" s="30" t="s">
        <v>65</v>
      </c>
      <c r="B80" s="31" t="s">
        <v>120</v>
      </c>
      <c r="C80" s="31" t="s">
        <v>121</v>
      </c>
      <c r="D80" s="32">
        <f>=100</f>
        <v>100</v>
      </c>
      <c r="E80" s="31" t="s">
        <v>122</v>
      </c>
    </row>
    <row r="81" ht="18" customHeight="1" spans="1:5" x14ac:dyDescent="0.25">
      <c r="A81" s="30" t="s">
        <v>65</v>
      </c>
      <c r="B81" s="31" t="s">
        <v>120</v>
      </c>
      <c r="C81" s="31" t="s">
        <v>121</v>
      </c>
      <c r="D81" s="32">
        <f>=100</f>
        <v>100</v>
      </c>
      <c r="E81" s="31" t="s">
        <v>122</v>
      </c>
    </row>
    <row r="82" ht="18" customHeight="1" spans="1:5" x14ac:dyDescent="0.25">
      <c r="A82" s="30" t="s">
        <v>65</v>
      </c>
      <c r="B82" s="31" t="s">
        <v>120</v>
      </c>
      <c r="C82" s="31" t="s">
        <v>121</v>
      </c>
      <c r="D82" s="32">
        <f>=100</f>
        <v>100</v>
      </c>
      <c r="E82" s="31" t="s">
        <v>122</v>
      </c>
    </row>
    <row r="83" ht="18" customHeight="1" spans="1:5" x14ac:dyDescent="0.25">
      <c r="A83" s="30" t="s">
        <v>65</v>
      </c>
      <c r="B83" s="31" t="s">
        <v>120</v>
      </c>
      <c r="C83" s="31" t="s">
        <v>121</v>
      </c>
      <c r="D83" s="32">
        <f>=100</f>
        <v>100</v>
      </c>
      <c r="E83" s="31" t="s">
        <v>122</v>
      </c>
    </row>
    <row r="84" ht="18" customHeight="1" spans="1:5" x14ac:dyDescent="0.25">
      <c r="A84" s="30" t="s">
        <v>123</v>
      </c>
      <c r="B84" s="31" t="s">
        <v>124</v>
      </c>
      <c r="C84" s="31" t="s">
        <v>121</v>
      </c>
      <c r="D84" s="32">
        <f>=100</f>
        <v>100</v>
      </c>
      <c r="E84" s="31" t="s">
        <v>125</v>
      </c>
    </row>
    <row r="85" ht="18" customHeight="1" spans="1:5" x14ac:dyDescent="0.25">
      <c r="A85" s="30" t="s">
        <v>85</v>
      </c>
      <c r="B85" s="31" t="s">
        <v>126</v>
      </c>
      <c r="C85" s="31" t="s">
        <v>127</v>
      </c>
      <c r="D85" s="32">
        <f>=100</f>
        <v>100</v>
      </c>
      <c r="E85" s="31" t="s">
        <v>128</v>
      </c>
    </row>
    <row r="86" ht="18" customHeight="1" spans="1:5" x14ac:dyDescent="0.25">
      <c r="A86" s="30" t="s">
        <v>72</v>
      </c>
      <c r="B86" s="31" t="s">
        <v>129</v>
      </c>
      <c r="C86" s="31" t="s">
        <v>130</v>
      </c>
      <c r="D86" s="32">
        <f>=100</f>
        <v>100</v>
      </c>
      <c r="E86" s="31" t="s">
        <v>131</v>
      </c>
    </row>
    <row r="87" ht="18" customHeight="1" spans="1:5" x14ac:dyDescent="0.25">
      <c r="A87" s="30" t="s">
        <v>132</v>
      </c>
      <c r="B87" s="31" t="s">
        <v>115</v>
      </c>
      <c r="C87" s="31" t="s">
        <v>133</v>
      </c>
      <c r="D87" s="32">
        <f>=100</f>
        <v>100</v>
      </c>
      <c r="E87" s="31" t="s">
        <v>117</v>
      </c>
    </row>
    <row r="88" ht="18" customHeight="1" spans="1:5" x14ac:dyDescent="0.25">
      <c r="A88" s="30" t="s">
        <v>132</v>
      </c>
      <c r="B88" s="31" t="s">
        <v>134</v>
      </c>
      <c r="C88" s="31" t="s">
        <v>127</v>
      </c>
      <c r="D88" s="32">
        <f>=100</f>
        <v>100</v>
      </c>
      <c r="E88" s="31" t="s">
        <v>135</v>
      </c>
    </row>
    <row r="89" ht="18" customHeight="1" spans="1:5" x14ac:dyDescent="0.25">
      <c r="A89" t="s">
        <v>1</v>
      </c>
      <c r="B89" s="8" t="s">
        <v>136</v>
      </c>
      <c r="C89" t="s">
        <v>1</v>
      </c>
      <c r="D89" s="28">
        <f>=SUM(D77:D88)</f>
        <v>1200</v>
      </c>
      <c r="E89" t="s">
        <v>1</v>
      </c>
    </row>
    <row r="92" ht="22" customHeight="1" spans="1:5" x14ac:dyDescent="0.25">
      <c r="A92" t="s">
        <v>1</v>
      </c>
      <c r="B92" s="33" t="s">
        <v>137</v>
      </c>
      <c r="C92" t="s">
        <v>1</v>
      </c>
      <c r="D92" s="34">
        <v>2790</v>
      </c>
      <c r="E92" t="s">
        <v>1</v>
      </c>
    </row>
  </sheetData>
  <mergeCells count="13">
    <mergeCell ref="A1:E1"/>
    <mergeCell ref="A5:E5"/>
    <mergeCell ref="A16:E16"/>
    <mergeCell ref="A21:E21"/>
    <mergeCell ref="A28:E28"/>
    <mergeCell ref="A34:E34"/>
    <mergeCell ref="A39:E39"/>
    <mergeCell ref="A44:E44"/>
    <mergeCell ref="A49:E49"/>
    <mergeCell ref="A54:E54"/>
    <mergeCell ref="A61:E61"/>
    <mergeCell ref="A69:E69"/>
    <mergeCell ref="A74:E7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138</v>
      </c>
      <c r="B1" s="14"/>
      <c r="C1" s="14"/>
      <c r="D1" s="14"/>
      <c r="E1" s="14"/>
    </row>
    <row r="3" ht="14" customHeight="1" spans="1:3" x14ac:dyDescent="0.25">
      <c r="A3" s="16" t="s">
        <v>139</v>
      </c>
      <c r="B3" s="17" t="s">
        <v>140</v>
      </c>
      <c r="C3" s="18" t="s">
        <v>141</v>
      </c>
    </row>
    <row r="5" ht="22" customHeight="1" spans="1:5" x14ac:dyDescent="0.25">
      <c r="A5" s="21" t="s">
        <v>56</v>
      </c>
      <c r="B5" s="21" t="s">
        <v>57</v>
      </c>
      <c r="C5" s="21" t="s">
        <v>58</v>
      </c>
      <c r="D5" s="21" t="s">
        <v>59</v>
      </c>
      <c r="E5" s="21" t="s">
        <v>60</v>
      </c>
    </row>
    <row r="6" ht="18" customHeight="1" spans="1:5" x14ac:dyDescent="0.25">
      <c r="A6" s="30" t="s">
        <v>114</v>
      </c>
      <c r="B6" s="31" t="s">
        <v>115</v>
      </c>
      <c r="C6" s="31" t="s">
        <v>116</v>
      </c>
      <c r="D6" s="32">
        <f>=100</f>
        <v>100</v>
      </c>
      <c r="E6" s="31" t="s">
        <v>117</v>
      </c>
    </row>
    <row r="7" ht="18" customHeight="1" spans="1:5" x14ac:dyDescent="0.25">
      <c r="A7" s="30" t="s">
        <v>118</v>
      </c>
      <c r="B7" s="31" t="s">
        <v>115</v>
      </c>
      <c r="C7" s="31" t="s">
        <v>119</v>
      </c>
      <c r="D7" s="32">
        <f>=100</f>
        <v>100</v>
      </c>
      <c r="E7" s="31" t="s">
        <v>117</v>
      </c>
    </row>
    <row r="8" ht="18" customHeight="1" spans="1:5" x14ac:dyDescent="0.25">
      <c r="A8" s="30" t="s">
        <v>65</v>
      </c>
      <c r="B8" s="31" t="s">
        <v>120</v>
      </c>
      <c r="C8" s="31" t="s">
        <v>121</v>
      </c>
      <c r="D8" s="32">
        <f>=100</f>
        <v>100</v>
      </c>
      <c r="E8" s="31" t="s">
        <v>122</v>
      </c>
    </row>
    <row r="9" ht="18" customHeight="1" spans="1:5" x14ac:dyDescent="0.25">
      <c r="A9" s="30" t="s">
        <v>65</v>
      </c>
      <c r="B9" s="31" t="s">
        <v>120</v>
      </c>
      <c r="C9" s="31" t="s">
        <v>121</v>
      </c>
      <c r="D9" s="32">
        <f>=100</f>
        <v>100</v>
      </c>
      <c r="E9" s="31" t="s">
        <v>122</v>
      </c>
    </row>
    <row r="10" ht="18" customHeight="1" spans="1:5" x14ac:dyDescent="0.25">
      <c r="A10" s="30" t="s">
        <v>65</v>
      </c>
      <c r="B10" s="31" t="s">
        <v>120</v>
      </c>
      <c r="C10" s="31" t="s">
        <v>121</v>
      </c>
      <c r="D10" s="32">
        <f>=100</f>
        <v>100</v>
      </c>
      <c r="E10" s="31" t="s">
        <v>122</v>
      </c>
    </row>
    <row r="11" ht="18" customHeight="1" spans="1:5" x14ac:dyDescent="0.25">
      <c r="A11" s="30" t="s">
        <v>65</v>
      </c>
      <c r="B11" s="31" t="s">
        <v>120</v>
      </c>
      <c r="C11" s="31" t="s">
        <v>121</v>
      </c>
      <c r="D11" s="32">
        <f>=100</f>
        <v>100</v>
      </c>
      <c r="E11" s="31" t="s">
        <v>122</v>
      </c>
    </row>
    <row r="12" ht="18" customHeight="1" spans="1:5" x14ac:dyDescent="0.25">
      <c r="A12" s="30" t="s">
        <v>65</v>
      </c>
      <c r="B12" s="31" t="s">
        <v>120</v>
      </c>
      <c r="C12" s="31" t="s">
        <v>121</v>
      </c>
      <c r="D12" s="32">
        <f>=100</f>
        <v>100</v>
      </c>
      <c r="E12" s="31" t="s">
        <v>122</v>
      </c>
    </row>
    <row r="13" ht="18" customHeight="1" spans="1:5" x14ac:dyDescent="0.25">
      <c r="A13" s="30" t="s">
        <v>123</v>
      </c>
      <c r="B13" s="31" t="s">
        <v>124</v>
      </c>
      <c r="C13" s="31" t="s">
        <v>121</v>
      </c>
      <c r="D13" s="32">
        <f>=100</f>
        <v>100</v>
      </c>
      <c r="E13" s="31" t="s">
        <v>125</v>
      </c>
    </row>
    <row r="14" ht="18" customHeight="1" spans="1:5" x14ac:dyDescent="0.25">
      <c r="A14" s="30" t="s">
        <v>85</v>
      </c>
      <c r="B14" s="31" t="s">
        <v>126</v>
      </c>
      <c r="C14" s="31" t="s">
        <v>127</v>
      </c>
      <c r="D14" s="32">
        <f>=100</f>
        <v>100</v>
      </c>
      <c r="E14" s="31" t="s">
        <v>128</v>
      </c>
    </row>
    <row r="15" ht="18" customHeight="1" spans="1:5" x14ac:dyDescent="0.25">
      <c r="A15" s="30" t="s">
        <v>72</v>
      </c>
      <c r="B15" s="31" t="s">
        <v>129</v>
      </c>
      <c r="C15" s="31" t="s">
        <v>130</v>
      </c>
      <c r="D15" s="32">
        <f>=100</f>
        <v>100</v>
      </c>
      <c r="E15" s="31" t="s">
        <v>131</v>
      </c>
    </row>
    <row r="16" ht="18" customHeight="1" spans="1:5" x14ac:dyDescent="0.25">
      <c r="A16" s="30" t="s">
        <v>132</v>
      </c>
      <c r="B16" s="31" t="s">
        <v>115</v>
      </c>
      <c r="C16" s="31" t="s">
        <v>133</v>
      </c>
      <c r="D16" s="32">
        <f>=100</f>
        <v>100</v>
      </c>
      <c r="E16" s="31" t="s">
        <v>117</v>
      </c>
    </row>
    <row r="17" ht="18" customHeight="1" spans="1:5" x14ac:dyDescent="0.25">
      <c r="A17" s="30" t="s">
        <v>132</v>
      </c>
      <c r="B17" s="31" t="s">
        <v>134</v>
      </c>
      <c r="C17" s="31" t="s">
        <v>127</v>
      </c>
      <c r="D17" s="32">
        <f>=100</f>
        <v>100</v>
      </c>
      <c r="E17" s="31" t="s">
        <v>135</v>
      </c>
    </row>
    <row r="19" spans="1:5" x14ac:dyDescent="0.25">
      <c r="A19" t="s">
        <v>1</v>
      </c>
      <c r="B19" s="8" t="s">
        <v>136</v>
      </c>
      <c r="C19" t="s">
        <v>1</v>
      </c>
      <c r="D19" s="28">
        <f>=SUM(D6:D17)</f>
        <v>1200</v>
      </c>
      <c r="E19" t="s">
        <v>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142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143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1" t="s">
        <v>132</v>
      </c>
      <c r="B6" s="31" t="s">
        <v>149</v>
      </c>
      <c r="C6" s="31" t="s">
        <v>150</v>
      </c>
      <c r="D6" s="30" t="s">
        <v>151</v>
      </c>
      <c r="E6" s="30" t="s">
        <v>152</v>
      </c>
      <c r="F6" s="32">
        <f>=IF(AND(D6="NOVA",E6="PRESENCIAL"),25,IF(AND(D6="FUP",E6="PRESENCIAL"),10,IF(D6="NOVA",10,IF(D6="FUP",5,0))))</f>
        <v>25</v>
      </c>
      <c r="G6" s="31" t="s">
        <v>153</v>
      </c>
    </row>
    <row r="7" ht="18" customHeight="1" spans="1:7" x14ac:dyDescent="0.25">
      <c r="A7" s="31" t="s">
        <v>132</v>
      </c>
      <c r="B7" s="31" t="s">
        <v>154</v>
      </c>
      <c r="C7" s="31" t="s">
        <v>1</v>
      </c>
      <c r="D7" s="30" t="s">
        <v>151</v>
      </c>
      <c r="E7" s="30" t="s">
        <v>155</v>
      </c>
      <c r="F7" s="32">
        <f>=IF(AND(D7="NOVA",E7="PRESENCIAL"),25,IF(AND(D7="FUP",E7="PRESENCIAL"),10,IF(D7="NOVA",10,IF(D7="FUP",5,0))))</f>
        <v>10</v>
      </c>
      <c r="G7" s="31" t="s">
        <v>156</v>
      </c>
    </row>
    <row r="8" ht="18" customHeight="1" spans="1:7" x14ac:dyDescent="0.25">
      <c r="A8" s="31" t="s">
        <v>104</v>
      </c>
      <c r="B8" s="31" t="s">
        <v>157</v>
      </c>
      <c r="C8" s="31" t="s">
        <v>1</v>
      </c>
      <c r="D8" s="30" t="s">
        <v>151</v>
      </c>
      <c r="E8" s="30" t="s">
        <v>155</v>
      </c>
      <c r="F8" s="32">
        <f>=IF(AND(D8="NOVA",E8="PRESENCIAL"),25,IF(AND(D8="FUP",E8="PRESENCIAL"),10,IF(D8="NOVA",10,IF(D8="FUP",5,0))))</f>
        <v>10</v>
      </c>
      <c r="G8" s="31" t="s">
        <v>158</v>
      </c>
    </row>
    <row r="9" ht="18" customHeight="1" spans="1:7" x14ac:dyDescent="0.25">
      <c r="A9" s="31" t="s">
        <v>104</v>
      </c>
      <c r="B9" s="31" t="s">
        <v>159</v>
      </c>
      <c r="C9" s="31" t="s">
        <v>1</v>
      </c>
      <c r="D9" s="30" t="s">
        <v>151</v>
      </c>
      <c r="E9" s="30" t="s">
        <v>155</v>
      </c>
      <c r="F9" s="32">
        <f>=IF(AND(D9="NOVA",E9="PRESENCIAL"),25,IF(AND(D9="FUP",E9="PRESENCIAL"),10,IF(D9="NOVA",10,IF(D9="FUP",5,0))))</f>
        <v>10</v>
      </c>
      <c r="G9" s="31" t="s">
        <v>160</v>
      </c>
    </row>
    <row r="10" ht="18" customHeight="1" spans="1:7" x14ac:dyDescent="0.25">
      <c r="A10" s="37" t="s">
        <v>81</v>
      </c>
      <c r="B10" s="37" t="s">
        <v>149</v>
      </c>
      <c r="C10" s="37" t="s">
        <v>150</v>
      </c>
      <c r="D10" s="38" t="s">
        <v>161</v>
      </c>
      <c r="E10" s="38" t="s">
        <v>155</v>
      </c>
      <c r="F10" s="39">
        <f>=IF(AND(D10="NOVA",E10="PRESENCIAL"),25,IF(AND(D10="FUP",E10="PRESENCIAL"),10,IF(D10="NOVA",10,IF(D10="FUP",5,0))))</f>
        <v>5</v>
      </c>
      <c r="G10" s="37" t="s">
        <v>153</v>
      </c>
    </row>
    <row r="11" ht="18" customHeight="1" spans="1:7" x14ac:dyDescent="0.25">
      <c r="A11" s="31" t="s">
        <v>81</v>
      </c>
      <c r="B11" s="31" t="s">
        <v>162</v>
      </c>
      <c r="C11" s="31" t="s">
        <v>1</v>
      </c>
      <c r="D11" s="30" t="s">
        <v>151</v>
      </c>
      <c r="E11" s="30" t="s">
        <v>155</v>
      </c>
      <c r="F11" s="32">
        <f>=IF(AND(D11="NOVA",E11="PRESENCIAL"),25,IF(AND(D11="FUP",E11="PRESENCIAL"),10,IF(D11="NOVA",10,IF(D11="FUP",5,0))))</f>
        <v>10</v>
      </c>
      <c r="G11" s="31" t="s">
        <v>163</v>
      </c>
    </row>
    <row r="12" ht="18" customHeight="1" spans="1:7" x14ac:dyDescent="0.25">
      <c r="A12" s="31" t="s">
        <v>164</v>
      </c>
      <c r="B12" s="31" t="s">
        <v>165</v>
      </c>
      <c r="C12" s="31" t="s">
        <v>1</v>
      </c>
      <c r="D12" s="30" t="s">
        <v>151</v>
      </c>
      <c r="E12" s="30" t="s">
        <v>155</v>
      </c>
      <c r="F12" s="32">
        <f>=IF(AND(D12="NOVA",E12="PRESENCIAL"),25,IF(AND(D12="FUP",E12="PRESENCIAL"),10,IF(D12="NOVA",10,IF(D12="FUP",5,0))))</f>
        <v>10</v>
      </c>
      <c r="G12" s="31" t="s">
        <v>166</v>
      </c>
    </row>
    <row r="13" ht="18" customHeight="1" spans="1:7" x14ac:dyDescent="0.25">
      <c r="A13" s="31" t="s">
        <v>70</v>
      </c>
      <c r="B13" s="31" t="s">
        <v>167</v>
      </c>
      <c r="C13" s="31" t="s">
        <v>1</v>
      </c>
      <c r="D13" s="30" t="s">
        <v>151</v>
      </c>
      <c r="E13" s="30" t="s">
        <v>155</v>
      </c>
      <c r="F13" s="32">
        <f>=IF(AND(D13="NOVA",E13="PRESENCIAL"),25,IF(AND(D13="FUP",E13="PRESENCIAL"),10,IF(D13="NOVA",10,IF(D13="FUP",5,0))))</f>
        <v>10</v>
      </c>
      <c r="G13" s="31" t="s">
        <v>168</v>
      </c>
    </row>
    <row r="14" ht="18" customHeight="1" spans="1:7" x14ac:dyDescent="0.25">
      <c r="A14" s="31" t="s">
        <v>169</v>
      </c>
      <c r="B14" s="31" t="s">
        <v>170</v>
      </c>
      <c r="C14" s="31" t="s">
        <v>1</v>
      </c>
      <c r="D14" s="30" t="s">
        <v>151</v>
      </c>
      <c r="E14" s="30" t="s">
        <v>155</v>
      </c>
      <c r="F14" s="32">
        <f>=IF(AND(D14="NOVA",E14="PRESENCIAL"),25,IF(AND(D14="FUP",E14="PRESENCIAL"),10,IF(D14="NOVA",10,IF(D14="FUP",5,0))))</f>
        <v>10</v>
      </c>
      <c r="G14" s="31" t="s">
        <v>171</v>
      </c>
    </row>
    <row r="15" ht="18" customHeight="1" spans="1:7" x14ac:dyDescent="0.25">
      <c r="A15" s="31" t="s">
        <v>172</v>
      </c>
      <c r="B15" s="31" t="s">
        <v>173</v>
      </c>
      <c r="C15" s="31" t="s">
        <v>1</v>
      </c>
      <c r="D15" s="30" t="s">
        <v>151</v>
      </c>
      <c r="E15" s="30" t="s">
        <v>155</v>
      </c>
      <c r="F15" s="32">
        <f>=IF(AND(D15="NOVA",E15="PRESENCIAL"),25,IF(AND(D15="FUP",E15="PRESENCIAL"),10,IF(D15="NOVA",10,IF(D15="FUP",5,0))))</f>
        <v>10</v>
      </c>
      <c r="G15" s="31" t="s">
        <v>174</v>
      </c>
    </row>
    <row r="16" ht="18" customHeight="1" spans="1:7" x14ac:dyDescent="0.25">
      <c r="A16" s="37" t="s">
        <v>91</v>
      </c>
      <c r="B16" s="37" t="s">
        <v>165</v>
      </c>
      <c r="C16" s="37" t="s">
        <v>175</v>
      </c>
      <c r="D16" s="38" t="s">
        <v>161</v>
      </c>
      <c r="E16" s="38" t="s">
        <v>155</v>
      </c>
      <c r="F16" s="39">
        <f>=IF(AND(D16="NOVA",E16="PRESENCIAL"),25,IF(AND(D16="FUP",E16="PRESENCIAL"),10,IF(D16="NOVA",10,IF(D16="FUP",5,0))))</f>
        <v>5</v>
      </c>
      <c r="G16" s="37" t="s">
        <v>166</v>
      </c>
    </row>
    <row r="17" ht="18" customHeight="1" spans="1:7" x14ac:dyDescent="0.25">
      <c r="A17" s="31" t="s">
        <v>91</v>
      </c>
      <c r="B17" s="31" t="s">
        <v>101</v>
      </c>
      <c r="C17" s="31" t="s">
        <v>176</v>
      </c>
      <c r="D17" s="30" t="s">
        <v>151</v>
      </c>
      <c r="E17" s="30" t="s">
        <v>155</v>
      </c>
      <c r="F17" s="32">
        <f>=IF(AND(D17="NOVA",E17="PRESENCIAL"),25,IF(AND(D17="FUP",E17="PRESENCIAL"),10,IF(D17="NOVA",10,IF(D17="FUP",5,0))))</f>
        <v>10</v>
      </c>
      <c r="G17" s="31" t="s">
        <v>103</v>
      </c>
    </row>
    <row r="18" ht="18" customHeight="1" spans="1:7" x14ac:dyDescent="0.25">
      <c r="A18" s="37" t="s">
        <v>65</v>
      </c>
      <c r="B18" s="37" t="s">
        <v>149</v>
      </c>
      <c r="C18" s="37" t="s">
        <v>177</v>
      </c>
      <c r="D18" s="38" t="s">
        <v>161</v>
      </c>
      <c r="E18" s="38" t="s">
        <v>152</v>
      </c>
      <c r="F18" s="39">
        <f>=IF(AND(D18="NOVA",E18="PRESENCIAL"),25,IF(AND(D18="FUP",E18="PRESENCIAL"),10,IF(D18="NOVA",10,IF(D18="FUP",5,0))))</f>
        <v>10</v>
      </c>
      <c r="G18" s="37" t="s">
        <v>153</v>
      </c>
    </row>
    <row r="19" ht="18" customHeight="1" spans="1:7" x14ac:dyDescent="0.25">
      <c r="A19" s="31" t="s">
        <v>65</v>
      </c>
      <c r="B19" s="31" t="s">
        <v>62</v>
      </c>
      <c r="C19" s="31" t="s">
        <v>1</v>
      </c>
      <c r="D19" s="30" t="s">
        <v>151</v>
      </c>
      <c r="E19" s="30" t="s">
        <v>155</v>
      </c>
      <c r="F19" s="32">
        <f>=IF(AND(D19="NOVA",E19="PRESENCIAL"),25,IF(AND(D19="FUP",E19="PRESENCIAL"),10,IF(D19="NOVA",10,IF(D19="FUP",5,0))))</f>
        <v>10</v>
      </c>
      <c r="G19" s="31" t="s">
        <v>64</v>
      </c>
    </row>
    <row r="20" ht="18" customHeight="1" spans="1:7" x14ac:dyDescent="0.25">
      <c r="A20" s="37" t="s">
        <v>61</v>
      </c>
      <c r="B20" s="37" t="s">
        <v>178</v>
      </c>
      <c r="C20" s="37" t="s">
        <v>1</v>
      </c>
      <c r="D20" s="38" t="s">
        <v>161</v>
      </c>
      <c r="E20" s="38" t="s">
        <v>155</v>
      </c>
      <c r="F20" s="39">
        <f>=IF(AND(D20="NOVA",E20="PRESENCIAL"),25,IF(AND(D20="FUP",E20="PRESENCIAL"),10,IF(D20="NOVA",10,IF(D20="FUP",5,0))))</f>
        <v>5</v>
      </c>
      <c r="G20" s="37" t="s">
        <v>179</v>
      </c>
    </row>
    <row r="21" ht="18" customHeight="1" spans="1:7" x14ac:dyDescent="0.25">
      <c r="A21" s="37" t="s">
        <v>61</v>
      </c>
      <c r="B21" s="37" t="s">
        <v>149</v>
      </c>
      <c r="C21" s="37" t="s">
        <v>177</v>
      </c>
      <c r="D21" s="38" t="s">
        <v>161</v>
      </c>
      <c r="E21" s="38" t="s">
        <v>155</v>
      </c>
      <c r="F21" s="39">
        <f>=IF(AND(D21="NOVA",E21="PRESENCIAL"),25,IF(AND(D21="FUP",E21="PRESENCIAL"),10,IF(D21="NOVA",10,IF(D21="FUP",5,0))))</f>
        <v>5</v>
      </c>
      <c r="G21" s="37" t="s">
        <v>153</v>
      </c>
    </row>
    <row r="23" spans="1:6" x14ac:dyDescent="0.25">
      <c r="A23" t="s">
        <v>1</v>
      </c>
      <c r="B23" s="8" t="s">
        <v>180</v>
      </c>
      <c r="C23" t="s">
        <v>1</v>
      </c>
      <c r="D23" s="40" t="s">
        <v>181</v>
      </c>
      <c r="E23" t="s">
        <v>1</v>
      </c>
      <c r="F23" s="7">
        <f>=SUM(F6:F22)</f>
        <v>155</v>
      </c>
    </row>
  </sheetData>
  <mergeCells count="1">
    <mergeCell ref="A1:G1"/>
  </mergeCells>
  <dataValidations count="4">
    <dataValidation type="list" sqref="D10:D21">
      <formula1>"NOVA,FUP"</formula1>
    </dataValidation>
    <dataValidation type="list" sqref="D6:D21">
      <formula1>"NOVA,FUP"</formula1>
    </dataValidation>
    <dataValidation type="list" sqref="E10:E21">
      <formula1>"VIDEO CONFERÊNCIA,PRESENCIAL"</formula1>
    </dataValidation>
    <dataValidation type="list" sqref="E6:E21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182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7" spans="1:6" x14ac:dyDescent="0.25">
      <c r="A7" t="s">
        <v>1</v>
      </c>
      <c r="B7" s="8" t="s">
        <v>180</v>
      </c>
      <c r="C7" t="s">
        <v>1</v>
      </c>
      <c r="D7" s="40" t="s">
        <v>184</v>
      </c>
      <c r="E7" t="s">
        <v>1</v>
      </c>
      <c r="F7" s="7">
        <f>=SUM(F6:F6)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185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1" t="s">
        <v>81</v>
      </c>
      <c r="B6" s="31" t="s">
        <v>186</v>
      </c>
      <c r="C6" s="31" t="s">
        <v>1</v>
      </c>
      <c r="D6" s="30" t="s">
        <v>151</v>
      </c>
      <c r="E6" s="30" t="s">
        <v>155</v>
      </c>
      <c r="F6" s="32">
        <f>=IF(AND(D6="NOVA",E6="PRESENCIAL"),15,IF(AND(D6="FUP",E6="PRESENCIAL"),7.5,IF(D6="NOVA",7.5,IF(D6="FUP",5,0))))</f>
        <v>7.5</v>
      </c>
      <c r="G6" s="31" t="s">
        <v>187</v>
      </c>
    </row>
    <row r="7" ht="18" customHeight="1" spans="1:7" x14ac:dyDescent="0.25">
      <c r="A7" s="31" t="s">
        <v>81</v>
      </c>
      <c r="B7" s="31" t="s">
        <v>188</v>
      </c>
      <c r="C7" s="31" t="s">
        <v>1</v>
      </c>
      <c r="D7" s="30" t="s">
        <v>151</v>
      </c>
      <c r="E7" s="30" t="s">
        <v>155</v>
      </c>
      <c r="F7" s="32">
        <f>=IF(AND(D7="NOVA",E7="PRESENCIAL"),15,IF(AND(D7="FUP",E7="PRESENCIAL"),7.5,IF(D7="NOVA",7.5,IF(D7="FUP",5,0))))</f>
        <v>7.5</v>
      </c>
      <c r="G7" s="31" t="s">
        <v>189</v>
      </c>
    </row>
    <row r="8" ht="18" customHeight="1" spans="1:7" x14ac:dyDescent="0.25">
      <c r="A8" s="37" t="s">
        <v>164</v>
      </c>
      <c r="B8" s="37" t="s">
        <v>190</v>
      </c>
      <c r="C8" s="37" t="s">
        <v>1</v>
      </c>
      <c r="D8" s="38" t="s">
        <v>161</v>
      </c>
      <c r="E8" s="38" t="s">
        <v>155</v>
      </c>
      <c r="F8" s="39">
        <f>=IF(AND(D8="NOVA",E8="PRESENCIAL"),15,IF(AND(D8="FUP",E8="PRESENCIAL"),7.5,IF(D8="NOVA",7.5,IF(D8="FUP",5,0))))</f>
        <v>5</v>
      </c>
      <c r="G8" s="37" t="s">
        <v>191</v>
      </c>
    </row>
    <row r="9" ht="18" customHeight="1" spans="1:7" x14ac:dyDescent="0.25">
      <c r="A9" s="31" t="s">
        <v>192</v>
      </c>
      <c r="B9" s="31" t="s">
        <v>193</v>
      </c>
      <c r="C9" s="31" t="s">
        <v>1</v>
      </c>
      <c r="D9" s="30" t="s">
        <v>151</v>
      </c>
      <c r="E9" s="30" t="s">
        <v>155</v>
      </c>
      <c r="F9" s="32">
        <f>=IF(AND(D9="NOVA",E9="PRESENCIAL"),15,IF(AND(D9="FUP",E9="PRESENCIAL"),7.5,IF(D9="NOVA",7.5,IF(D9="FUP",5,0))))</f>
        <v>7.5</v>
      </c>
      <c r="G9" s="31" t="s">
        <v>194</v>
      </c>
    </row>
    <row r="10" ht="18" customHeight="1" spans="1:7" x14ac:dyDescent="0.25">
      <c r="A10" s="31" t="s">
        <v>123</v>
      </c>
      <c r="B10" s="31" t="s">
        <v>195</v>
      </c>
      <c r="C10" s="31" t="s">
        <v>1</v>
      </c>
      <c r="D10" s="30" t="s">
        <v>151</v>
      </c>
      <c r="E10" s="30" t="s">
        <v>155</v>
      </c>
      <c r="F10" s="32">
        <f>=IF(AND(D10="NOVA",E10="PRESENCIAL"),15,IF(AND(D10="FUP",E10="PRESENCIAL"),7.5,IF(D10="NOVA",7.5,IF(D10="FUP",5,0))))</f>
        <v>7.5</v>
      </c>
      <c r="G10" s="31" t="s">
        <v>196</v>
      </c>
    </row>
    <row r="11" ht="18" customHeight="1" spans="1:7" x14ac:dyDescent="0.25">
      <c r="A11" s="31" t="s">
        <v>108</v>
      </c>
      <c r="B11" s="31" t="s">
        <v>197</v>
      </c>
      <c r="C11" s="31" t="s">
        <v>1</v>
      </c>
      <c r="D11" s="30" t="s">
        <v>151</v>
      </c>
      <c r="E11" s="30" t="s">
        <v>155</v>
      </c>
      <c r="F11" s="32">
        <f>=IF(AND(D11="NOVA",E11="PRESENCIAL"),15,IF(AND(D11="FUP",E11="PRESENCIAL"),7.5,IF(D11="NOVA",7.5,IF(D11="FUP",5,0))))</f>
        <v>7.5</v>
      </c>
      <c r="G11" s="31" t="s">
        <v>198</v>
      </c>
    </row>
    <row r="12" ht="18" customHeight="1" spans="1:7" x14ac:dyDescent="0.25">
      <c r="A12" s="31" t="s">
        <v>61</v>
      </c>
      <c r="B12" s="31" t="s">
        <v>199</v>
      </c>
      <c r="C12" s="31" t="s">
        <v>1</v>
      </c>
      <c r="D12" s="30" t="s">
        <v>151</v>
      </c>
      <c r="E12" s="30" t="s">
        <v>155</v>
      </c>
      <c r="F12" s="32">
        <f>=IF(AND(D12="NOVA",E12="PRESENCIAL"),15,IF(AND(D12="FUP",E12="PRESENCIAL"),7.5,IF(D12="NOVA",7.5,IF(D12="FUP",5,0))))</f>
        <v>7.5</v>
      </c>
      <c r="G12" s="31" t="s">
        <v>200</v>
      </c>
    </row>
    <row r="13" ht="18" customHeight="1" spans="1:7" x14ac:dyDescent="0.25">
      <c r="A13" s="31" t="s">
        <v>118</v>
      </c>
      <c r="B13" s="31" t="s">
        <v>201</v>
      </c>
      <c r="C13" s="31" t="s">
        <v>1</v>
      </c>
      <c r="D13" s="30" t="s">
        <v>151</v>
      </c>
      <c r="E13" s="30" t="s">
        <v>155</v>
      </c>
      <c r="F13" s="32">
        <f>=IF(AND(D13="NOVA",E13="PRESENCIAL"),15,IF(AND(D13="FUP",E13="PRESENCIAL"),7.5,IF(D13="NOVA",7.5,IF(D13="FUP",5,0))))</f>
        <v>7.5</v>
      </c>
      <c r="G13" s="31" t="s">
        <v>202</v>
      </c>
    </row>
    <row r="14" ht="18" customHeight="1" spans="1:7" x14ac:dyDescent="0.25">
      <c r="A14" s="31" t="s">
        <v>118</v>
      </c>
      <c r="B14" s="31" t="s">
        <v>203</v>
      </c>
      <c r="C14" s="31" t="s">
        <v>1</v>
      </c>
      <c r="D14" s="30" t="s">
        <v>151</v>
      </c>
      <c r="E14" s="30" t="s">
        <v>155</v>
      </c>
      <c r="F14" s="32">
        <f>=IF(AND(D14="NOVA",E14="PRESENCIAL"),15,IF(AND(D14="FUP",E14="PRESENCIAL"),7.5,IF(D14="NOVA",7.5,IF(D14="FUP",5,0))))</f>
        <v>7.5</v>
      </c>
      <c r="G14" s="31" t="s">
        <v>204</v>
      </c>
    </row>
    <row r="15" ht="18" customHeight="1" spans="1:7" x14ac:dyDescent="0.25">
      <c r="A15" s="31" t="s">
        <v>114</v>
      </c>
      <c r="B15" s="31" t="s">
        <v>205</v>
      </c>
      <c r="C15" s="31" t="s">
        <v>1</v>
      </c>
      <c r="D15" s="30" t="s">
        <v>151</v>
      </c>
      <c r="E15" s="30" t="s">
        <v>155</v>
      </c>
      <c r="F15" s="32">
        <f>=IF(AND(D15="NOVA",E15="PRESENCIAL"),15,IF(AND(D15="FUP",E15="PRESENCIAL"),7.5,IF(D15="NOVA",7.5,IF(D15="FUP",5,0))))</f>
        <v>7.5</v>
      </c>
      <c r="G15" s="31" t="s">
        <v>206</v>
      </c>
    </row>
    <row r="16" ht="18" customHeight="1" spans="1:7" x14ac:dyDescent="0.25">
      <c r="A16" s="31" t="s">
        <v>207</v>
      </c>
      <c r="B16" s="31" t="s">
        <v>208</v>
      </c>
      <c r="C16" s="31" t="s">
        <v>1</v>
      </c>
      <c r="D16" s="30" t="s">
        <v>151</v>
      </c>
      <c r="E16" s="30" t="s">
        <v>155</v>
      </c>
      <c r="F16" s="32">
        <f>=IF(AND(D16="NOVA",E16="PRESENCIAL"),15,IF(AND(D16="FUP",E16="PRESENCIAL"),7.5,IF(D16="NOVA",7.5,IF(D16="FUP",5,0))))</f>
        <v>7.5</v>
      </c>
      <c r="G16" s="31" t="s">
        <v>209</v>
      </c>
    </row>
    <row r="17" ht="18" customHeight="1" spans="1:7" x14ac:dyDescent="0.25">
      <c r="A17" s="31" t="s">
        <v>207</v>
      </c>
      <c r="B17" s="31" t="s">
        <v>210</v>
      </c>
      <c r="C17" s="31" t="s">
        <v>1</v>
      </c>
      <c r="D17" s="30" t="s">
        <v>151</v>
      </c>
      <c r="E17" s="30" t="s">
        <v>155</v>
      </c>
      <c r="F17" s="32">
        <f>=IF(AND(D17="NOVA",E17="PRESENCIAL"),15,IF(AND(D17="FUP",E17="PRESENCIAL"),7.5,IF(D17="NOVA",7.5,IF(D17="FUP",5,0))))</f>
        <v>7.5</v>
      </c>
      <c r="G17" s="31" t="s">
        <v>211</v>
      </c>
    </row>
    <row r="18" ht="18" customHeight="1" spans="1:7" x14ac:dyDescent="0.25">
      <c r="A18" s="31" t="s">
        <v>207</v>
      </c>
      <c r="B18" s="31" t="s">
        <v>212</v>
      </c>
      <c r="C18" s="31" t="s">
        <v>1</v>
      </c>
      <c r="D18" s="30" t="s">
        <v>151</v>
      </c>
      <c r="E18" s="30" t="s">
        <v>155</v>
      </c>
      <c r="F18" s="32">
        <f>=IF(AND(D18="NOVA",E18="PRESENCIAL"),15,IF(AND(D18="FUP",E18="PRESENCIAL"),7.5,IF(D18="NOVA",7.5,IF(D18="FUP",5,0))))</f>
        <v>7.5</v>
      </c>
      <c r="G18" s="31" t="s">
        <v>213</v>
      </c>
    </row>
    <row r="19" ht="18" customHeight="1" spans="1:7" x14ac:dyDescent="0.25">
      <c r="A19" s="31" t="s">
        <v>207</v>
      </c>
      <c r="B19" s="31" t="s">
        <v>214</v>
      </c>
      <c r="C19" s="31" t="s">
        <v>1</v>
      </c>
      <c r="D19" s="30" t="s">
        <v>151</v>
      </c>
      <c r="E19" s="30" t="s">
        <v>155</v>
      </c>
      <c r="F19" s="32">
        <f>=IF(AND(D19="NOVA",E19="PRESENCIAL"),15,IF(AND(D19="FUP",E19="PRESENCIAL"),7.5,IF(D19="NOVA",7.5,IF(D19="FUP",5,0))))</f>
        <v>7.5</v>
      </c>
      <c r="G19" s="31" t="s">
        <v>215</v>
      </c>
    </row>
    <row r="20" ht="18" customHeight="1" spans="1:7" x14ac:dyDescent="0.25">
      <c r="A20" s="31" t="s">
        <v>207</v>
      </c>
      <c r="B20" s="31" t="s">
        <v>216</v>
      </c>
      <c r="C20" s="31" t="s">
        <v>1</v>
      </c>
      <c r="D20" s="30" t="s">
        <v>151</v>
      </c>
      <c r="E20" s="30" t="s">
        <v>155</v>
      </c>
      <c r="F20" s="32">
        <f>=IF(AND(D20="NOVA",E20="PRESENCIAL"),15,IF(AND(D20="FUP",E20="PRESENCIAL"),7.5,IF(D20="NOVA",7.5,IF(D20="FUP",5,0))))</f>
        <v>7.5</v>
      </c>
      <c r="G20" s="31" t="s">
        <v>217</v>
      </c>
    </row>
    <row r="21" ht="18" customHeight="1" spans="1:7" x14ac:dyDescent="0.25">
      <c r="A21" s="31" t="s">
        <v>218</v>
      </c>
      <c r="B21" s="31" t="s">
        <v>86</v>
      </c>
      <c r="C21" s="31" t="s">
        <v>1</v>
      </c>
      <c r="D21" s="30" t="s">
        <v>151</v>
      </c>
      <c r="E21" s="30" t="s">
        <v>155</v>
      </c>
      <c r="F21" s="32">
        <f>=IF(AND(D21="NOVA",E21="PRESENCIAL"),15,IF(AND(D21="FUP",E21="PRESENCIAL"),7.5,IF(D21="NOVA",7.5,IF(D21="FUP",5,0))))</f>
        <v>7.5</v>
      </c>
      <c r="G21" s="31" t="s">
        <v>88</v>
      </c>
    </row>
    <row r="23" spans="1:6" x14ac:dyDescent="0.25">
      <c r="A23" t="s">
        <v>1</v>
      </c>
      <c r="B23" s="8" t="s">
        <v>180</v>
      </c>
      <c r="C23" t="s">
        <v>1</v>
      </c>
      <c r="D23" s="40" t="s">
        <v>219</v>
      </c>
      <c r="E23" t="s">
        <v>1</v>
      </c>
      <c r="F23" s="7">
        <f>=SUM(F6:F22)</f>
        <v>117.5</v>
      </c>
    </row>
  </sheetData>
  <mergeCells count="1">
    <mergeCell ref="A1:G1"/>
  </mergeCells>
  <dataValidations count="4">
    <dataValidation type="list" sqref="D10:D21">
      <formula1>"NOVA,FUP"</formula1>
    </dataValidation>
    <dataValidation type="list" sqref="D6:D21">
      <formula1>"NOVA,FUP"</formula1>
    </dataValidation>
    <dataValidation type="list" sqref="E10:E21">
      <formula1>"VIDEO CONFERÊNCIA,PRESENCIAL"</formula1>
    </dataValidation>
    <dataValidation type="list" sqref="E6:E21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220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1" t="s">
        <v>132</v>
      </c>
      <c r="B6" s="31" t="s">
        <v>221</v>
      </c>
      <c r="C6" s="31" t="s">
        <v>1</v>
      </c>
      <c r="D6" s="30" t="s">
        <v>151</v>
      </c>
      <c r="E6" s="30" t="s">
        <v>155</v>
      </c>
      <c r="F6" s="32">
        <f>=IF(AND(D6="NOVA",E6="PRESENCIAL"),15,IF(AND(D6="FUP",E6="PRESENCIAL"),7.5,IF(D6="NOVA",7.5,IF(D6="FUP",5,0))))</f>
        <v>7.5</v>
      </c>
      <c r="G6" s="31" t="s">
        <v>222</v>
      </c>
    </row>
    <row r="7" ht="18" customHeight="1" spans="1:7" x14ac:dyDescent="0.25">
      <c r="A7" s="31" t="s">
        <v>104</v>
      </c>
      <c r="B7" s="31" t="s">
        <v>223</v>
      </c>
      <c r="C7" s="31" t="s">
        <v>1</v>
      </c>
      <c r="D7" s="30" t="s">
        <v>151</v>
      </c>
      <c r="E7" s="30" t="s">
        <v>155</v>
      </c>
      <c r="F7" s="32">
        <f>=IF(AND(D7="NOVA",E7="PRESENCIAL"),15,IF(AND(D7="FUP",E7="PRESENCIAL"),7.5,IF(D7="NOVA",7.5,IF(D7="FUP",5,0))))</f>
        <v>7.5</v>
      </c>
      <c r="G7" s="31" t="s">
        <v>224</v>
      </c>
    </row>
    <row r="8" ht="18" customHeight="1" spans="1:7" x14ac:dyDescent="0.25">
      <c r="A8" s="31" t="s">
        <v>104</v>
      </c>
      <c r="B8" s="31" t="s">
        <v>225</v>
      </c>
      <c r="C8" s="31" t="s">
        <v>1</v>
      </c>
      <c r="D8" s="30" t="s">
        <v>151</v>
      </c>
      <c r="E8" s="30" t="s">
        <v>155</v>
      </c>
      <c r="F8" s="32">
        <f>=IF(AND(D8="NOVA",E8="PRESENCIAL"),15,IF(AND(D8="FUP",E8="PRESENCIAL"),7.5,IF(D8="NOVA",7.5,IF(D8="FUP",5,0))))</f>
        <v>7.5</v>
      </c>
      <c r="G8" s="31" t="s">
        <v>226</v>
      </c>
    </row>
    <row r="9" ht="18" customHeight="1" spans="1:7" x14ac:dyDescent="0.25">
      <c r="A9" s="31" t="s">
        <v>164</v>
      </c>
      <c r="B9" s="31" t="s">
        <v>227</v>
      </c>
      <c r="C9" s="31" t="s">
        <v>1</v>
      </c>
      <c r="D9" s="30" t="s">
        <v>151</v>
      </c>
      <c r="E9" s="30" t="s">
        <v>155</v>
      </c>
      <c r="F9" s="32">
        <f>=IF(AND(D9="NOVA",E9="PRESENCIAL"),15,IF(AND(D9="FUP",E9="PRESENCIAL"),7.5,IF(D9="NOVA",7.5,IF(D9="FUP",5,0))))</f>
        <v>7.5</v>
      </c>
      <c r="G9" s="31" t="s">
        <v>228</v>
      </c>
    </row>
    <row r="10" ht="18" customHeight="1" spans="1:7" x14ac:dyDescent="0.25">
      <c r="A10" s="31" t="s">
        <v>70</v>
      </c>
      <c r="B10" s="31" t="s">
        <v>229</v>
      </c>
      <c r="C10" s="31" t="s">
        <v>1</v>
      </c>
      <c r="D10" s="30" t="s">
        <v>151</v>
      </c>
      <c r="E10" s="30" t="s">
        <v>155</v>
      </c>
      <c r="F10" s="32">
        <f>=IF(AND(D10="NOVA",E10="PRESENCIAL"),15,IF(AND(D10="FUP",E10="PRESENCIAL"),7.5,IF(D10="NOVA",7.5,IF(D10="FUP",5,0))))</f>
        <v>7.5</v>
      </c>
      <c r="G10" s="31" t="s">
        <v>230</v>
      </c>
    </row>
    <row r="11" ht="18" customHeight="1" spans="1:7" x14ac:dyDescent="0.25">
      <c r="A11" s="31" t="s">
        <v>70</v>
      </c>
      <c r="B11" s="31" t="s">
        <v>231</v>
      </c>
      <c r="C11" s="31" t="s">
        <v>1</v>
      </c>
      <c r="D11" s="30" t="s">
        <v>151</v>
      </c>
      <c r="E11" s="30" t="s">
        <v>155</v>
      </c>
      <c r="F11" s="32">
        <f>=IF(AND(D11="NOVA",E11="PRESENCIAL"),15,IF(AND(D11="FUP",E11="PRESENCIAL"),7.5,IF(D11="NOVA",7.5,IF(D11="FUP",5,0))))</f>
        <v>7.5</v>
      </c>
      <c r="G11" s="31" t="s">
        <v>232</v>
      </c>
    </row>
    <row r="12" ht="18" customHeight="1" spans="1:7" x14ac:dyDescent="0.25">
      <c r="A12" s="31" t="s">
        <v>72</v>
      </c>
      <c r="B12" s="31" t="s">
        <v>233</v>
      </c>
      <c r="C12" s="31" t="s">
        <v>1</v>
      </c>
      <c r="D12" s="30" t="s">
        <v>151</v>
      </c>
      <c r="E12" s="30" t="s">
        <v>155</v>
      </c>
      <c r="F12" s="32">
        <f>=IF(AND(D12="NOVA",E12="PRESENCIAL"),15,IF(AND(D12="FUP",E12="PRESENCIAL"),7.5,IF(D12="NOVA",7.5,IF(D12="FUP",5,0))))</f>
        <v>7.5</v>
      </c>
      <c r="G12" s="31" t="s">
        <v>234</v>
      </c>
    </row>
    <row r="13" ht="18" customHeight="1" spans="1:7" x14ac:dyDescent="0.25">
      <c r="A13" s="31" t="s">
        <v>72</v>
      </c>
      <c r="B13" s="31" t="s">
        <v>235</v>
      </c>
      <c r="C13" s="31" t="s">
        <v>1</v>
      </c>
      <c r="D13" s="30" t="s">
        <v>151</v>
      </c>
      <c r="E13" s="30" t="s">
        <v>155</v>
      </c>
      <c r="F13" s="32">
        <f>=IF(AND(D13="NOVA",E13="PRESENCIAL"),15,IF(AND(D13="FUP",E13="PRESENCIAL"),7.5,IF(D13="NOVA",7.5,IF(D13="FUP",5,0))))</f>
        <v>7.5</v>
      </c>
      <c r="G13" s="31" t="s">
        <v>236</v>
      </c>
    </row>
    <row r="14" ht="18" customHeight="1" spans="1:7" x14ac:dyDescent="0.25">
      <c r="A14" s="31" t="s">
        <v>72</v>
      </c>
      <c r="B14" s="31" t="s">
        <v>237</v>
      </c>
      <c r="C14" s="31" t="s">
        <v>1</v>
      </c>
      <c r="D14" s="30" t="s">
        <v>151</v>
      </c>
      <c r="E14" s="30" t="s">
        <v>155</v>
      </c>
      <c r="F14" s="32">
        <f>=IF(AND(D14="NOVA",E14="PRESENCIAL"),15,IF(AND(D14="FUP",E14="PRESENCIAL"),7.5,IF(D14="NOVA",7.5,IF(D14="FUP",5,0))))</f>
        <v>7.5</v>
      </c>
      <c r="G14" s="31" t="s">
        <v>238</v>
      </c>
    </row>
    <row r="15" ht="18" customHeight="1" spans="1:7" x14ac:dyDescent="0.25">
      <c r="A15" s="31" t="s">
        <v>169</v>
      </c>
      <c r="B15" s="31" t="s">
        <v>92</v>
      </c>
      <c r="C15" s="31" t="s">
        <v>1</v>
      </c>
      <c r="D15" s="30" t="s">
        <v>151</v>
      </c>
      <c r="E15" s="30" t="s">
        <v>155</v>
      </c>
      <c r="F15" s="32">
        <f>=IF(AND(D15="NOVA",E15="PRESENCIAL"),15,IF(AND(D15="FUP",E15="PRESENCIAL"),7.5,IF(D15="NOVA",7.5,IF(D15="FUP",5,0))))</f>
        <v>7.5</v>
      </c>
      <c r="G15" s="31" t="s">
        <v>94</v>
      </c>
    </row>
    <row r="16" ht="18" customHeight="1" spans="1:7" x14ac:dyDescent="0.25">
      <c r="A16" s="31" t="s">
        <v>172</v>
      </c>
      <c r="B16" s="31" t="s">
        <v>239</v>
      </c>
      <c r="C16" s="31" t="s">
        <v>1</v>
      </c>
      <c r="D16" s="30" t="s">
        <v>151</v>
      </c>
      <c r="E16" s="30" t="s">
        <v>155</v>
      </c>
      <c r="F16" s="32">
        <f>=IF(AND(D16="NOVA",E16="PRESENCIAL"),15,IF(AND(D16="FUP",E16="PRESENCIAL"),7.5,IF(D16="NOVA",7.5,IF(D16="FUP",5,0))))</f>
        <v>7.5</v>
      </c>
      <c r="G16" s="31" t="s">
        <v>240</v>
      </c>
    </row>
    <row r="17" ht="18" customHeight="1" spans="1:7" x14ac:dyDescent="0.25">
      <c r="A17" s="31" t="s">
        <v>108</v>
      </c>
      <c r="B17" s="31" t="s">
        <v>241</v>
      </c>
      <c r="C17" s="31" t="s">
        <v>1</v>
      </c>
      <c r="D17" s="30" t="s">
        <v>151</v>
      </c>
      <c r="E17" s="30" t="s">
        <v>155</v>
      </c>
      <c r="F17" s="32">
        <f>=IF(AND(D17="NOVA",E17="PRESENCIAL"),15,IF(AND(D17="FUP",E17="PRESENCIAL"),7.5,IF(D17="NOVA",7.5,IF(D17="FUP",5,0))))</f>
        <v>7.5</v>
      </c>
      <c r="G17" s="31" t="s">
        <v>242</v>
      </c>
    </row>
    <row r="18" ht="18" customHeight="1" spans="1:7" x14ac:dyDescent="0.25">
      <c r="A18" s="31" t="s">
        <v>91</v>
      </c>
      <c r="B18" s="31" t="s">
        <v>243</v>
      </c>
      <c r="C18" s="31" t="s">
        <v>1</v>
      </c>
      <c r="D18" s="30" t="s">
        <v>151</v>
      </c>
      <c r="E18" s="30" t="s">
        <v>155</v>
      </c>
      <c r="F18" s="32">
        <f>=IF(AND(D18="NOVA",E18="PRESENCIAL"),15,IF(AND(D18="FUP",E18="PRESENCIAL"),7.5,IF(D18="NOVA",7.5,IF(D18="FUP",5,0))))</f>
        <v>7.5</v>
      </c>
      <c r="G18" s="31" t="s">
        <v>244</v>
      </c>
    </row>
    <row r="19" ht="18" customHeight="1" spans="1:7" x14ac:dyDescent="0.25">
      <c r="A19" s="31" t="s">
        <v>118</v>
      </c>
      <c r="B19" s="31" t="s">
        <v>245</v>
      </c>
      <c r="C19" s="31" t="s">
        <v>1</v>
      </c>
      <c r="D19" s="30" t="s">
        <v>151</v>
      </c>
      <c r="E19" s="30" t="s">
        <v>155</v>
      </c>
      <c r="F19" s="32">
        <f>=IF(AND(D19="NOVA",E19="PRESENCIAL"),15,IF(AND(D19="FUP",E19="PRESENCIAL"),7.5,IF(D19="NOVA",7.5,IF(D19="FUP",5,0))))</f>
        <v>7.5</v>
      </c>
      <c r="G19" s="31" t="s">
        <v>246</v>
      </c>
    </row>
    <row r="20" ht="18" customHeight="1" spans="1:7" x14ac:dyDescent="0.25">
      <c r="A20" s="31" t="s">
        <v>118</v>
      </c>
      <c r="B20" s="31" t="s">
        <v>247</v>
      </c>
      <c r="C20" s="31" t="s">
        <v>1</v>
      </c>
      <c r="D20" s="30" t="s">
        <v>151</v>
      </c>
      <c r="E20" s="30" t="s">
        <v>155</v>
      </c>
      <c r="F20" s="32">
        <f>=IF(AND(D20="NOVA",E20="PRESENCIAL"),15,IF(AND(D20="FUP",E20="PRESENCIAL"),7.5,IF(D20="NOVA",7.5,IF(D20="FUP",5,0))))</f>
        <v>7.5</v>
      </c>
      <c r="G20" s="31" t="s">
        <v>248</v>
      </c>
    </row>
    <row r="21" ht="18" customHeight="1" spans="1:7" x14ac:dyDescent="0.25">
      <c r="A21" s="31" t="s">
        <v>249</v>
      </c>
      <c r="B21" s="31" t="s">
        <v>250</v>
      </c>
      <c r="C21" s="31" t="s">
        <v>1</v>
      </c>
      <c r="D21" s="30" t="s">
        <v>151</v>
      </c>
      <c r="E21" s="30" t="s">
        <v>155</v>
      </c>
      <c r="F21" s="32">
        <f>=IF(AND(D21="NOVA",E21="PRESENCIAL"),15,IF(AND(D21="FUP",E21="PRESENCIAL"),7.5,IF(D21="NOVA",7.5,IF(D21="FUP",5,0))))</f>
        <v>7.5</v>
      </c>
      <c r="G21" s="31" t="s">
        <v>251</v>
      </c>
    </row>
    <row r="22" ht="18" customHeight="1" spans="1:7" x14ac:dyDescent="0.25">
      <c r="A22" s="31" t="s">
        <v>249</v>
      </c>
      <c r="B22" s="31" t="s">
        <v>252</v>
      </c>
      <c r="C22" s="31" t="s">
        <v>1</v>
      </c>
      <c r="D22" s="30" t="s">
        <v>151</v>
      </c>
      <c r="E22" s="30" t="s">
        <v>155</v>
      </c>
      <c r="F22" s="32">
        <f>=IF(AND(D22="NOVA",E22="PRESENCIAL"),15,IF(AND(D22="FUP",E22="PRESENCIAL"),7.5,IF(D22="NOVA",7.5,IF(D22="FUP",5,0))))</f>
        <v>7.5</v>
      </c>
      <c r="G22" s="31" t="s">
        <v>253</v>
      </c>
    </row>
    <row r="24" spans="1:6" x14ac:dyDescent="0.25">
      <c r="A24" t="s">
        <v>1</v>
      </c>
      <c r="B24" s="8" t="s">
        <v>180</v>
      </c>
      <c r="C24" t="s">
        <v>1</v>
      </c>
      <c r="D24" s="40" t="s">
        <v>254</v>
      </c>
      <c r="E24" t="s">
        <v>1</v>
      </c>
      <c r="F24" s="7">
        <f>=SUM(F6:F23)</f>
        <v>127.5</v>
      </c>
    </row>
  </sheetData>
  <mergeCells count="1">
    <mergeCell ref="A1:G1"/>
  </mergeCells>
  <dataValidations count="4">
    <dataValidation type="list" sqref="D10:D22">
      <formula1>"NOVA,FUP"</formula1>
    </dataValidation>
    <dataValidation type="list" sqref="D6:D22">
      <formula1>"NOVA,FUP"</formula1>
    </dataValidation>
    <dataValidation type="list" sqref="E10:E22">
      <formula1>"VIDEO CONFERÊNCIA,PRESENCIAL"</formula1>
    </dataValidation>
    <dataValidation type="list" sqref="E6:E22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255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7" spans="1:6" x14ac:dyDescent="0.25">
      <c r="A7" t="s">
        <v>1</v>
      </c>
      <c r="B7" s="8" t="s">
        <v>180</v>
      </c>
      <c r="C7" t="s">
        <v>1</v>
      </c>
      <c r="D7" s="40" t="s">
        <v>184</v>
      </c>
      <c r="E7" t="s">
        <v>1</v>
      </c>
      <c r="F7" s="7">
        <f>=SUM(F6:F6)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256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7" t="s">
        <v>257</v>
      </c>
      <c r="B6" s="37" t="s">
        <v>258</v>
      </c>
      <c r="C6" s="37" t="s">
        <v>1</v>
      </c>
      <c r="D6" s="38" t="s">
        <v>161</v>
      </c>
      <c r="E6" s="38" t="s">
        <v>155</v>
      </c>
      <c r="F6" s="39">
        <f>=IF(AND(D6="NOVA",E6="PRESENCIAL"),15,IF(AND(D6="FUP",E6="PRESENCIAL"),7.5,IF(D6="NOVA",7.5,IF(D6="FUP",5,0))))</f>
        <v>5</v>
      </c>
      <c r="G6" s="37" t="s">
        <v>259</v>
      </c>
    </row>
    <row r="7" ht="18" customHeight="1" spans="1:7" x14ac:dyDescent="0.25">
      <c r="A7" s="31" t="s">
        <v>81</v>
      </c>
      <c r="B7" s="31" t="s">
        <v>260</v>
      </c>
      <c r="C7" s="31" t="s">
        <v>1</v>
      </c>
      <c r="D7" s="30" t="s">
        <v>151</v>
      </c>
      <c r="E7" s="30" t="s">
        <v>155</v>
      </c>
      <c r="F7" s="32">
        <f>=IF(AND(D7="NOVA",E7="PRESENCIAL"),15,IF(AND(D7="FUP",E7="PRESENCIAL"),7.5,IF(D7="NOVA",7.5,IF(D7="FUP",5,0))))</f>
        <v>7.5</v>
      </c>
      <c r="G7" s="31" t="s">
        <v>261</v>
      </c>
    </row>
    <row r="8" ht="18" customHeight="1" spans="1:7" x14ac:dyDescent="0.25">
      <c r="A8" s="31" t="s">
        <v>81</v>
      </c>
      <c r="B8" s="31" t="s">
        <v>262</v>
      </c>
      <c r="C8" s="31" t="s">
        <v>1</v>
      </c>
      <c r="D8" s="30" t="s">
        <v>151</v>
      </c>
      <c r="E8" s="30" t="s">
        <v>155</v>
      </c>
      <c r="F8" s="32">
        <f>=IF(AND(D8="NOVA",E8="PRESENCIAL"),15,IF(AND(D8="FUP",E8="PRESENCIAL"),7.5,IF(D8="NOVA",7.5,IF(D8="FUP",5,0))))</f>
        <v>7.5</v>
      </c>
      <c r="G8" s="31" t="s">
        <v>263</v>
      </c>
    </row>
    <row r="9" ht="18" customHeight="1" spans="1:7" x14ac:dyDescent="0.25">
      <c r="A9" s="31" t="s">
        <v>164</v>
      </c>
      <c r="B9" s="31" t="s">
        <v>264</v>
      </c>
      <c r="C9" s="31" t="s">
        <v>1</v>
      </c>
      <c r="D9" s="30" t="s">
        <v>151</v>
      </c>
      <c r="E9" s="30" t="s">
        <v>155</v>
      </c>
      <c r="F9" s="32">
        <f>=IF(AND(D9="NOVA",E9="PRESENCIAL"),15,IF(AND(D9="FUP",E9="PRESENCIAL"),7.5,IF(D9="NOVA",7.5,IF(D9="FUP",5,0))))</f>
        <v>7.5</v>
      </c>
      <c r="G9" s="31" t="s">
        <v>265</v>
      </c>
    </row>
    <row r="10" ht="18" customHeight="1" spans="1:7" x14ac:dyDescent="0.25">
      <c r="A10" s="31" t="s">
        <v>164</v>
      </c>
      <c r="B10" s="31" t="s">
        <v>266</v>
      </c>
      <c r="C10" s="31" t="s">
        <v>1</v>
      </c>
      <c r="D10" s="30" t="s">
        <v>151</v>
      </c>
      <c r="E10" s="30" t="s">
        <v>155</v>
      </c>
      <c r="F10" s="32">
        <f>=IF(AND(D10="NOVA",E10="PRESENCIAL"),15,IF(AND(D10="FUP",E10="PRESENCIAL"),7.5,IF(D10="NOVA",7.5,IF(D10="FUP",5,0))))</f>
        <v>7.5</v>
      </c>
      <c r="G10" s="31" t="s">
        <v>267</v>
      </c>
    </row>
    <row r="11" ht="18" customHeight="1" spans="1:7" x14ac:dyDescent="0.25">
      <c r="A11" s="31" t="s">
        <v>72</v>
      </c>
      <c r="B11" s="31" t="s">
        <v>268</v>
      </c>
      <c r="C11" s="31" t="s">
        <v>1</v>
      </c>
      <c r="D11" s="30" t="s">
        <v>151</v>
      </c>
      <c r="E11" s="30" t="s">
        <v>155</v>
      </c>
      <c r="F11" s="32">
        <f>=IF(AND(D11="NOVA",E11="PRESENCIAL"),15,IF(AND(D11="FUP",E11="PRESENCIAL"),7.5,IF(D11="NOVA",7.5,IF(D11="FUP",5,0))))</f>
        <v>7.5</v>
      </c>
      <c r="G11" s="31" t="s">
        <v>269</v>
      </c>
    </row>
    <row r="12" ht="18" customHeight="1" spans="1:7" x14ac:dyDescent="0.25">
      <c r="A12" s="31" t="s">
        <v>172</v>
      </c>
      <c r="B12" s="31" t="s">
        <v>270</v>
      </c>
      <c r="C12" s="31" t="s">
        <v>1</v>
      </c>
      <c r="D12" s="30" t="s">
        <v>151</v>
      </c>
      <c r="E12" s="30" t="s">
        <v>155</v>
      </c>
      <c r="F12" s="32">
        <f>=IF(AND(D12="NOVA",E12="PRESENCIAL"),15,IF(AND(D12="FUP",E12="PRESENCIAL"),7.5,IF(D12="NOVA",7.5,IF(D12="FUP",5,0))))</f>
        <v>7.5</v>
      </c>
      <c r="G12" s="31" t="s">
        <v>271</v>
      </c>
    </row>
    <row r="13" ht="18" customHeight="1" spans="1:7" x14ac:dyDescent="0.25">
      <c r="A13" s="31" t="s">
        <v>69</v>
      </c>
      <c r="B13" s="31" t="s">
        <v>272</v>
      </c>
      <c r="C13" s="31" t="s">
        <v>1</v>
      </c>
      <c r="D13" s="30" t="s">
        <v>151</v>
      </c>
      <c r="E13" s="30" t="s">
        <v>155</v>
      </c>
      <c r="F13" s="32">
        <f>=IF(AND(D13="NOVA",E13="PRESENCIAL"),15,IF(AND(D13="FUP",E13="PRESENCIAL"),7.5,IF(D13="NOVA",7.5,IF(D13="FUP",5,0))))</f>
        <v>7.5</v>
      </c>
      <c r="G13" s="31" t="s">
        <v>273</v>
      </c>
    </row>
    <row r="14" ht="18" customHeight="1" spans="1:7" x14ac:dyDescent="0.25">
      <c r="A14" s="31" t="s">
        <v>69</v>
      </c>
      <c r="B14" s="31" t="s">
        <v>274</v>
      </c>
      <c r="C14" s="31" t="s">
        <v>1</v>
      </c>
      <c r="D14" s="30" t="s">
        <v>151</v>
      </c>
      <c r="E14" s="30" t="s">
        <v>155</v>
      </c>
      <c r="F14" s="32">
        <f>=IF(AND(D14="NOVA",E14="PRESENCIAL"),15,IF(AND(D14="FUP",E14="PRESENCIAL"),7.5,IF(D14="NOVA",7.5,IF(D14="FUP",5,0))))</f>
        <v>7.5</v>
      </c>
      <c r="G14" s="31" t="s">
        <v>275</v>
      </c>
    </row>
    <row r="15" ht="18" customHeight="1" spans="1:7" x14ac:dyDescent="0.25">
      <c r="A15" s="31" t="s">
        <v>65</v>
      </c>
      <c r="B15" s="31" t="s">
        <v>276</v>
      </c>
      <c r="C15" s="31" t="s">
        <v>1</v>
      </c>
      <c r="D15" s="30" t="s">
        <v>151</v>
      </c>
      <c r="E15" s="30" t="s">
        <v>155</v>
      </c>
      <c r="F15" s="32">
        <f>=IF(AND(D15="NOVA",E15="PRESENCIAL"),15,IF(AND(D15="FUP",E15="PRESENCIAL"),7.5,IF(D15="NOVA",7.5,IF(D15="FUP",5,0))))</f>
        <v>7.5</v>
      </c>
      <c r="G15" s="31" t="s">
        <v>277</v>
      </c>
    </row>
    <row r="16" ht="18" customHeight="1" spans="1:7" x14ac:dyDescent="0.25">
      <c r="A16" s="31" t="s">
        <v>61</v>
      </c>
      <c r="B16" s="31" t="s">
        <v>278</v>
      </c>
      <c r="C16" s="31" t="s">
        <v>1</v>
      </c>
      <c r="D16" s="30" t="s">
        <v>151</v>
      </c>
      <c r="E16" s="30" t="s">
        <v>155</v>
      </c>
      <c r="F16" s="32">
        <f>=IF(AND(D16="NOVA",E16="PRESENCIAL"),15,IF(AND(D16="FUP",E16="PRESENCIAL"),7.5,IF(D16="NOVA",7.5,IF(D16="FUP",5,0))))</f>
        <v>7.5</v>
      </c>
      <c r="G16" s="31" t="s">
        <v>279</v>
      </c>
    </row>
    <row r="17" ht="18" customHeight="1" spans="1:7" x14ac:dyDescent="0.25">
      <c r="A17" s="31" t="s">
        <v>61</v>
      </c>
      <c r="B17" s="31" t="s">
        <v>280</v>
      </c>
      <c r="C17" s="31" t="s">
        <v>1</v>
      </c>
      <c r="D17" s="30" t="s">
        <v>151</v>
      </c>
      <c r="E17" s="30" t="s">
        <v>155</v>
      </c>
      <c r="F17" s="32">
        <f>=IF(AND(D17="NOVA",E17="PRESENCIAL"),15,IF(AND(D17="FUP",E17="PRESENCIAL"),7.5,IF(D17="NOVA",7.5,IF(D17="FUP",5,0))))</f>
        <v>7.5</v>
      </c>
      <c r="G17" s="31" t="s">
        <v>281</v>
      </c>
    </row>
    <row r="18" ht="18" customHeight="1" spans="1:7" x14ac:dyDescent="0.25">
      <c r="A18" s="37" t="s">
        <v>118</v>
      </c>
      <c r="B18" s="37" t="s">
        <v>262</v>
      </c>
      <c r="C18" s="37" t="s">
        <v>1</v>
      </c>
      <c r="D18" s="38" t="s">
        <v>161</v>
      </c>
      <c r="E18" s="38" t="s">
        <v>155</v>
      </c>
      <c r="F18" s="39">
        <f>=IF(AND(D18="NOVA",E18="PRESENCIAL"),15,IF(AND(D18="FUP",E18="PRESENCIAL"),7.5,IF(D18="NOVA",7.5,IF(D18="FUP",5,0))))</f>
        <v>5</v>
      </c>
      <c r="G18" s="37" t="s">
        <v>263</v>
      </c>
    </row>
    <row r="19" ht="18" customHeight="1" spans="1:7" x14ac:dyDescent="0.25">
      <c r="A19" s="31" t="s">
        <v>249</v>
      </c>
      <c r="B19" s="31" t="s">
        <v>282</v>
      </c>
      <c r="C19" s="31" t="s">
        <v>1</v>
      </c>
      <c r="D19" s="30" t="s">
        <v>151</v>
      </c>
      <c r="E19" s="30" t="s">
        <v>155</v>
      </c>
      <c r="F19" s="32">
        <f>=IF(AND(D19="NOVA",E19="PRESENCIAL"),15,IF(AND(D19="FUP",E19="PRESENCIAL"),7.5,IF(D19="NOVA",7.5,IF(D19="FUP",5,0))))</f>
        <v>7.5</v>
      </c>
      <c r="G19" s="31" t="s">
        <v>283</v>
      </c>
    </row>
    <row r="20" ht="18" customHeight="1" spans="1:7" x14ac:dyDescent="0.25">
      <c r="A20" s="31" t="s">
        <v>249</v>
      </c>
      <c r="B20" s="31" t="s">
        <v>284</v>
      </c>
      <c r="C20" s="31" t="s">
        <v>1</v>
      </c>
      <c r="D20" s="30" t="s">
        <v>151</v>
      </c>
      <c r="E20" s="30" t="s">
        <v>155</v>
      </c>
      <c r="F20" s="32">
        <f>=IF(AND(D20="NOVA",E20="PRESENCIAL"),15,IF(AND(D20="FUP",E20="PRESENCIAL"),7.5,IF(D20="NOVA",7.5,IF(D20="FUP",5,0))))</f>
        <v>7.5</v>
      </c>
      <c r="G20" s="31" t="s">
        <v>285</v>
      </c>
    </row>
    <row r="21" ht="18" customHeight="1" spans="1:7" x14ac:dyDescent="0.25">
      <c r="A21" s="31" t="s">
        <v>114</v>
      </c>
      <c r="B21" s="31" t="s">
        <v>286</v>
      </c>
      <c r="C21" s="31" t="s">
        <v>1</v>
      </c>
      <c r="D21" s="30" t="s">
        <v>151</v>
      </c>
      <c r="E21" s="30" t="s">
        <v>155</v>
      </c>
      <c r="F21" s="32">
        <f>=IF(AND(D21="NOVA",E21="PRESENCIAL"),15,IF(AND(D21="FUP",E21="PRESENCIAL"),7.5,IF(D21="NOVA",7.5,IF(D21="FUP",5,0))))</f>
        <v>7.5</v>
      </c>
      <c r="G21" s="31" t="s">
        <v>287</v>
      </c>
    </row>
    <row r="23" spans="1:6" x14ac:dyDescent="0.25">
      <c r="A23" t="s">
        <v>1</v>
      </c>
      <c r="B23" s="8" t="s">
        <v>180</v>
      </c>
      <c r="C23" t="s">
        <v>1</v>
      </c>
      <c r="D23" s="40" t="s">
        <v>288</v>
      </c>
      <c r="E23" t="s">
        <v>1</v>
      </c>
      <c r="F23" s="7">
        <f>=SUM(F6:F22)</f>
        <v>115</v>
      </c>
    </row>
  </sheetData>
  <mergeCells count="1">
    <mergeCell ref="A1:G1"/>
  </mergeCells>
  <dataValidations count="4">
    <dataValidation type="list" sqref="D10:D21">
      <formula1>"NOVA,FUP"</formula1>
    </dataValidation>
    <dataValidation type="list" sqref="D6:D21">
      <formula1>"NOVA,FUP"</formula1>
    </dataValidation>
    <dataValidation type="list" sqref="E10:E21">
      <formula1>"VIDEO CONFERÊNCIA,PRESENCIAL"</formula1>
    </dataValidation>
    <dataValidation type="list" sqref="E6:E21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289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1" t="s">
        <v>257</v>
      </c>
      <c r="B6" s="31" t="s">
        <v>290</v>
      </c>
      <c r="C6" s="31" t="s">
        <v>1</v>
      </c>
      <c r="D6" s="30" t="s">
        <v>151</v>
      </c>
      <c r="E6" s="30" t="s">
        <v>155</v>
      </c>
      <c r="F6" s="32">
        <f>=IF(AND(D6="NOVA",E6="PRESENCIAL"),15,IF(AND(D6="FUP",E6="PRESENCIAL"),7.5,IF(D6="NOVA",7.5,IF(D6="FUP",5,0))))</f>
        <v>7.5</v>
      </c>
      <c r="G6" s="31" t="s">
        <v>291</v>
      </c>
    </row>
    <row r="7" ht="18" customHeight="1" spans="1:7" x14ac:dyDescent="0.25">
      <c r="A7" s="37" t="s">
        <v>72</v>
      </c>
      <c r="B7" s="37" t="s">
        <v>292</v>
      </c>
      <c r="C7" s="37" t="s">
        <v>1</v>
      </c>
      <c r="D7" s="38" t="s">
        <v>161</v>
      </c>
      <c r="E7" s="38" t="s">
        <v>155</v>
      </c>
      <c r="F7" s="39">
        <f>=IF(AND(D7="NOVA",E7="PRESENCIAL"),15,IF(AND(D7="FUP",E7="PRESENCIAL"),7.5,IF(D7="NOVA",7.5,IF(D7="FUP",5,0))))</f>
        <v>5</v>
      </c>
      <c r="G7" s="37" t="s">
        <v>293</v>
      </c>
    </row>
    <row r="8" ht="18" customHeight="1" spans="1:7" x14ac:dyDescent="0.25">
      <c r="A8" s="31" t="s">
        <v>72</v>
      </c>
      <c r="B8" s="31" t="s">
        <v>294</v>
      </c>
      <c r="C8" s="31" t="s">
        <v>1</v>
      </c>
      <c r="D8" s="30" t="s">
        <v>151</v>
      </c>
      <c r="E8" s="30" t="s">
        <v>155</v>
      </c>
      <c r="F8" s="32">
        <f>=IF(AND(D8="NOVA",E8="PRESENCIAL"),15,IF(AND(D8="FUP",E8="PRESENCIAL"),7.5,IF(D8="NOVA",7.5,IF(D8="FUP",5,0))))</f>
        <v>7.5</v>
      </c>
      <c r="G8" s="31" t="s">
        <v>295</v>
      </c>
    </row>
    <row r="9" ht="18" customHeight="1" spans="1:7" x14ac:dyDescent="0.25">
      <c r="A9" s="31" t="s">
        <v>296</v>
      </c>
      <c r="B9" s="31" t="s">
        <v>297</v>
      </c>
      <c r="C9" s="31" t="s">
        <v>1</v>
      </c>
      <c r="D9" s="30" t="s">
        <v>151</v>
      </c>
      <c r="E9" s="30" t="s">
        <v>155</v>
      </c>
      <c r="F9" s="32">
        <f>=IF(AND(D9="NOVA",E9="PRESENCIAL"),15,IF(AND(D9="FUP",E9="PRESENCIAL"),7.5,IF(D9="NOVA",7.5,IF(D9="FUP",5,0))))</f>
        <v>7.5</v>
      </c>
      <c r="G9" s="31" t="s">
        <v>298</v>
      </c>
    </row>
    <row r="10" ht="18" customHeight="1" spans="1:7" x14ac:dyDescent="0.25">
      <c r="A10" s="31" t="s">
        <v>249</v>
      </c>
      <c r="B10" s="31" t="s">
        <v>299</v>
      </c>
      <c r="C10" s="31" t="s">
        <v>1</v>
      </c>
      <c r="D10" s="30" t="s">
        <v>151</v>
      </c>
      <c r="E10" s="30" t="s">
        <v>155</v>
      </c>
      <c r="F10" s="32">
        <f>=IF(AND(D10="NOVA",E10="PRESENCIAL"),15,IF(AND(D10="FUP",E10="PRESENCIAL"),7.5,IF(D10="NOVA",7.5,IF(D10="FUP",5,0))))</f>
        <v>7.5</v>
      </c>
      <c r="G10" s="31" t="s">
        <v>300</v>
      </c>
    </row>
    <row r="11" ht="18" customHeight="1" spans="1:7" x14ac:dyDescent="0.25">
      <c r="A11" s="31" t="s">
        <v>249</v>
      </c>
      <c r="B11" s="31" t="s">
        <v>301</v>
      </c>
      <c r="C11" s="31" t="s">
        <v>1</v>
      </c>
      <c r="D11" s="30" t="s">
        <v>151</v>
      </c>
      <c r="E11" s="30" t="s">
        <v>155</v>
      </c>
      <c r="F11" s="32">
        <f>=IF(AND(D11="NOVA",E11="PRESENCIAL"),15,IF(AND(D11="FUP",E11="PRESENCIAL"),7.5,IF(D11="NOVA",7.5,IF(D11="FUP",5,0))))</f>
        <v>7.5</v>
      </c>
      <c r="G11" s="31" t="s">
        <v>302</v>
      </c>
    </row>
    <row r="12" ht="18" customHeight="1" spans="1:7" x14ac:dyDescent="0.25">
      <c r="A12" s="31" t="s">
        <v>249</v>
      </c>
      <c r="B12" s="31" t="s">
        <v>303</v>
      </c>
      <c r="C12" s="31" t="s">
        <v>1</v>
      </c>
      <c r="D12" s="30" t="s">
        <v>151</v>
      </c>
      <c r="E12" s="30" t="s">
        <v>155</v>
      </c>
      <c r="F12" s="32">
        <f>=IF(AND(D12="NOVA",E12="PRESENCIAL"),15,IF(AND(D12="FUP",E12="PRESENCIAL"),7.5,IF(D12="NOVA",7.5,IF(D12="FUP",5,0))))</f>
        <v>7.5</v>
      </c>
      <c r="G12" s="31" t="s">
        <v>304</v>
      </c>
    </row>
    <row r="13" ht="18" customHeight="1" spans="1:7" x14ac:dyDescent="0.25">
      <c r="A13" s="31" t="s">
        <v>249</v>
      </c>
      <c r="B13" s="31" t="s">
        <v>305</v>
      </c>
      <c r="C13" s="31" t="s">
        <v>1</v>
      </c>
      <c r="D13" s="30" t="s">
        <v>151</v>
      </c>
      <c r="E13" s="30" t="s">
        <v>155</v>
      </c>
      <c r="F13" s="32">
        <f>=IF(AND(D13="NOVA",E13="PRESENCIAL"),15,IF(AND(D13="FUP",E13="PRESENCIAL"),7.5,IF(D13="NOVA",7.5,IF(D13="FUP",5,0))))</f>
        <v>7.5</v>
      </c>
      <c r="G13" s="31" t="s">
        <v>306</v>
      </c>
    </row>
    <row r="14" ht="18" customHeight="1" spans="1:7" x14ac:dyDescent="0.25">
      <c r="A14" s="31" t="s">
        <v>249</v>
      </c>
      <c r="B14" s="31" t="s">
        <v>307</v>
      </c>
      <c r="C14" s="31" t="s">
        <v>1</v>
      </c>
      <c r="D14" s="30" t="s">
        <v>151</v>
      </c>
      <c r="E14" s="30" t="s">
        <v>155</v>
      </c>
      <c r="F14" s="32">
        <f>=IF(AND(D14="NOVA",E14="PRESENCIAL"),15,IF(AND(D14="FUP",E14="PRESENCIAL"),7.5,IF(D14="NOVA",7.5,IF(D14="FUP",5,0))))</f>
        <v>7.5</v>
      </c>
      <c r="G14" s="31" t="s">
        <v>308</v>
      </c>
    </row>
    <row r="15" ht="18" customHeight="1" spans="1:7" x14ac:dyDescent="0.25">
      <c r="A15" s="31" t="s">
        <v>249</v>
      </c>
      <c r="B15" s="31" t="s">
        <v>309</v>
      </c>
      <c r="C15" s="31" t="s">
        <v>1</v>
      </c>
      <c r="D15" s="30" t="s">
        <v>151</v>
      </c>
      <c r="E15" s="30" t="s">
        <v>155</v>
      </c>
      <c r="F15" s="32">
        <f>=IF(AND(D15="NOVA",E15="PRESENCIAL"),15,IF(AND(D15="FUP",E15="PRESENCIAL"),7.5,IF(D15="NOVA",7.5,IF(D15="FUP",5,0))))</f>
        <v>7.5</v>
      </c>
      <c r="G15" s="31" t="s">
        <v>310</v>
      </c>
    </row>
    <row r="17" spans="1:6" x14ac:dyDescent="0.25">
      <c r="A17" t="s">
        <v>1</v>
      </c>
      <c r="B17" s="8" t="s">
        <v>180</v>
      </c>
      <c r="C17" t="s">
        <v>1</v>
      </c>
      <c r="D17" s="40" t="s">
        <v>311</v>
      </c>
      <c r="E17" t="s">
        <v>1</v>
      </c>
      <c r="F17" s="7">
        <f>=SUM(F6:F16)</f>
        <v>72.5</v>
      </c>
    </row>
  </sheetData>
  <mergeCells count="1">
    <mergeCell ref="A1:G1"/>
  </mergeCells>
  <dataValidations count="4">
    <dataValidation type="list" sqref="D10:D15">
      <formula1>"NOVA,FUP"</formula1>
    </dataValidation>
    <dataValidation type="list" sqref="D6:D15">
      <formula1>"NOVA,FUP"</formula1>
    </dataValidation>
    <dataValidation type="list" sqref="E10:E15">
      <formula1>"VIDEO CONFERÊNCIA,PRESENCIAL"</formula1>
    </dataValidation>
    <dataValidation type="list" sqref="E6:E15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312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143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7" spans="1:6" x14ac:dyDescent="0.25">
      <c r="A7" t="s">
        <v>1</v>
      </c>
      <c r="B7" s="8" t="s">
        <v>180</v>
      </c>
      <c r="C7" t="s">
        <v>1</v>
      </c>
      <c r="D7" s="40" t="s">
        <v>184</v>
      </c>
      <c r="E7" t="s">
        <v>1</v>
      </c>
      <c r="F7" s="7">
        <f>=SUM(F6:F6)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313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143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7" spans="1:6" x14ac:dyDescent="0.25">
      <c r="A7" t="s">
        <v>1</v>
      </c>
      <c r="B7" s="8" t="s">
        <v>180</v>
      </c>
      <c r="C7" t="s">
        <v>1</v>
      </c>
      <c r="D7" s="40" t="s">
        <v>184</v>
      </c>
      <c r="E7" t="s">
        <v>1</v>
      </c>
      <c r="F7" s="7">
        <f>=SUM(F6:F6)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314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1" t="s">
        <v>257</v>
      </c>
      <c r="B6" s="31" t="s">
        <v>315</v>
      </c>
      <c r="C6" s="31" t="s">
        <v>1</v>
      </c>
      <c r="D6" s="30" t="s">
        <v>151</v>
      </c>
      <c r="E6" s="30" t="s">
        <v>155</v>
      </c>
      <c r="F6" s="32">
        <f>=IF(AND(D6="NOVA",E6="PRESENCIAL"),15,IF(AND(D6="FUP",E6="PRESENCIAL"),7.5,IF(D6="NOVA",7.5,IF(D6="FUP",5,0))))</f>
        <v>7.5</v>
      </c>
      <c r="G6" s="31" t="s">
        <v>316</v>
      </c>
    </row>
    <row r="7" ht="18" customHeight="1" spans="1:7" x14ac:dyDescent="0.25">
      <c r="A7" s="31" t="s">
        <v>257</v>
      </c>
      <c r="B7" s="31" t="s">
        <v>317</v>
      </c>
      <c r="C7" s="31" t="s">
        <v>1</v>
      </c>
      <c r="D7" s="30" t="s">
        <v>151</v>
      </c>
      <c r="E7" s="30" t="s">
        <v>155</v>
      </c>
      <c r="F7" s="32">
        <f>=IF(AND(D7="NOVA",E7="PRESENCIAL"),15,IF(AND(D7="FUP",E7="PRESENCIAL"),7.5,IF(D7="NOVA",7.5,IF(D7="FUP",5,0))))</f>
        <v>7.5</v>
      </c>
      <c r="G7" s="31" t="s">
        <v>318</v>
      </c>
    </row>
    <row r="8" ht="18" customHeight="1" spans="1:7" x14ac:dyDescent="0.25">
      <c r="A8" s="31" t="s">
        <v>257</v>
      </c>
      <c r="B8" s="31" t="s">
        <v>319</v>
      </c>
      <c r="C8" s="31" t="s">
        <v>1</v>
      </c>
      <c r="D8" s="30" t="s">
        <v>151</v>
      </c>
      <c r="E8" s="30" t="s">
        <v>155</v>
      </c>
      <c r="F8" s="32">
        <f>=IF(AND(D8="NOVA",E8="PRESENCIAL"),15,IF(AND(D8="FUP",E8="PRESENCIAL"),7.5,IF(D8="NOVA",7.5,IF(D8="FUP",5,0))))</f>
        <v>7.5</v>
      </c>
      <c r="G8" s="31" t="s">
        <v>320</v>
      </c>
    </row>
    <row r="9" ht="18" customHeight="1" spans="1:7" x14ac:dyDescent="0.25">
      <c r="A9" s="31" t="s">
        <v>257</v>
      </c>
      <c r="B9" s="31" t="s">
        <v>321</v>
      </c>
      <c r="C9" s="31" t="s">
        <v>1</v>
      </c>
      <c r="D9" s="30" t="s">
        <v>151</v>
      </c>
      <c r="E9" s="30" t="s">
        <v>155</v>
      </c>
      <c r="F9" s="32">
        <f>=IF(AND(D9="NOVA",E9="PRESENCIAL"),15,IF(AND(D9="FUP",E9="PRESENCIAL"),7.5,IF(D9="NOVA",7.5,IF(D9="FUP",5,0))))</f>
        <v>7.5</v>
      </c>
      <c r="G9" s="31" t="s">
        <v>322</v>
      </c>
    </row>
    <row r="10" ht="18" customHeight="1" spans="1:7" x14ac:dyDescent="0.25">
      <c r="A10" s="31" t="s">
        <v>132</v>
      </c>
      <c r="B10" s="31" t="s">
        <v>323</v>
      </c>
      <c r="C10" s="31" t="s">
        <v>1</v>
      </c>
      <c r="D10" s="30" t="s">
        <v>151</v>
      </c>
      <c r="E10" s="30" t="s">
        <v>155</v>
      </c>
      <c r="F10" s="32">
        <f>=IF(AND(D10="NOVA",E10="PRESENCIAL"),15,IF(AND(D10="FUP",E10="PRESENCIAL"),7.5,IF(D10="NOVA",7.5,IF(D10="FUP",5,0))))</f>
        <v>7.5</v>
      </c>
      <c r="G10" s="31" t="s">
        <v>324</v>
      </c>
    </row>
    <row r="11" ht="18" customHeight="1" spans="1:7" x14ac:dyDescent="0.25">
      <c r="A11" s="31" t="s">
        <v>132</v>
      </c>
      <c r="B11" s="31" t="s">
        <v>325</v>
      </c>
      <c r="C11" s="31" t="s">
        <v>1</v>
      </c>
      <c r="D11" s="30" t="s">
        <v>151</v>
      </c>
      <c r="E11" s="30" t="s">
        <v>155</v>
      </c>
      <c r="F11" s="32">
        <f>=IF(AND(D11="NOVA",E11="PRESENCIAL"),15,IF(AND(D11="FUP",E11="PRESENCIAL"),7.5,IF(D11="NOVA",7.5,IF(D11="FUP",5,0))))</f>
        <v>7.5</v>
      </c>
      <c r="G11" s="31" t="s">
        <v>326</v>
      </c>
    </row>
    <row r="12" ht="18" customHeight="1" spans="1:7" x14ac:dyDescent="0.25">
      <c r="A12" s="31" t="s">
        <v>104</v>
      </c>
      <c r="B12" s="31" t="s">
        <v>327</v>
      </c>
      <c r="C12" s="31" t="s">
        <v>1</v>
      </c>
      <c r="D12" s="30" t="s">
        <v>151</v>
      </c>
      <c r="E12" s="30" t="s">
        <v>155</v>
      </c>
      <c r="F12" s="32">
        <f>=IF(AND(D12="NOVA",E12="PRESENCIAL"),15,IF(AND(D12="FUP",E12="PRESENCIAL"),7.5,IF(D12="NOVA",7.5,IF(D12="FUP",5,0))))</f>
        <v>7.5</v>
      </c>
      <c r="G12" s="31" t="s">
        <v>328</v>
      </c>
    </row>
    <row r="13" ht="18" customHeight="1" spans="1:7" x14ac:dyDescent="0.25">
      <c r="A13" s="31" t="s">
        <v>164</v>
      </c>
      <c r="B13" s="31" t="s">
        <v>329</v>
      </c>
      <c r="C13" s="31" t="s">
        <v>1</v>
      </c>
      <c r="D13" s="30" t="s">
        <v>151</v>
      </c>
      <c r="E13" s="30" t="s">
        <v>155</v>
      </c>
      <c r="F13" s="32">
        <f>=IF(AND(D13="NOVA",E13="PRESENCIAL"),15,IF(AND(D13="FUP",E13="PRESENCIAL"),7.5,IF(D13="NOVA",7.5,IF(D13="FUP",5,0))))</f>
        <v>7.5</v>
      </c>
      <c r="G13" s="31" t="s">
        <v>330</v>
      </c>
    </row>
    <row r="14" ht="18" customHeight="1" spans="1:7" x14ac:dyDescent="0.25">
      <c r="A14" s="37" t="s">
        <v>70</v>
      </c>
      <c r="B14" s="37" t="s">
        <v>327</v>
      </c>
      <c r="C14" s="37" t="s">
        <v>1</v>
      </c>
      <c r="D14" s="38" t="s">
        <v>161</v>
      </c>
      <c r="E14" s="38" t="s">
        <v>155</v>
      </c>
      <c r="F14" s="39">
        <f>=IF(AND(D14="NOVA",E14="PRESENCIAL"),15,IF(AND(D14="FUP",E14="PRESENCIAL"),7.5,IF(D14="NOVA",7.5,IF(D14="FUP",5,0))))</f>
        <v>5</v>
      </c>
      <c r="G14" s="37" t="s">
        <v>328</v>
      </c>
    </row>
    <row r="15" ht="18" customHeight="1" spans="1:7" x14ac:dyDescent="0.25">
      <c r="A15" s="31" t="s">
        <v>70</v>
      </c>
      <c r="B15" s="31" t="s">
        <v>331</v>
      </c>
      <c r="C15" s="31" t="s">
        <v>1</v>
      </c>
      <c r="D15" s="30" t="s">
        <v>151</v>
      </c>
      <c r="E15" s="30" t="s">
        <v>155</v>
      </c>
      <c r="F15" s="32">
        <f>=IF(AND(D15="NOVA",E15="PRESENCIAL"),15,IF(AND(D15="FUP",E15="PRESENCIAL"),7.5,IF(D15="NOVA",7.5,IF(D15="FUP",5,0))))</f>
        <v>7.5</v>
      </c>
      <c r="G15" s="31" t="s">
        <v>332</v>
      </c>
    </row>
    <row r="16" ht="18" customHeight="1" spans="1:7" x14ac:dyDescent="0.25">
      <c r="A16" s="31" t="s">
        <v>72</v>
      </c>
      <c r="B16" s="31" t="s">
        <v>333</v>
      </c>
      <c r="C16" s="31" t="s">
        <v>1</v>
      </c>
      <c r="D16" s="30" t="s">
        <v>151</v>
      </c>
      <c r="E16" s="30" t="s">
        <v>155</v>
      </c>
      <c r="F16" s="32">
        <f>=IF(AND(D16="NOVA",E16="PRESENCIAL"),15,IF(AND(D16="FUP",E16="PRESENCIAL"),7.5,IF(D16="NOVA",7.5,IF(D16="FUP",5,0))))</f>
        <v>7.5</v>
      </c>
      <c r="G16" s="31" t="s">
        <v>334</v>
      </c>
    </row>
    <row r="17" ht="18" customHeight="1" spans="1:7" x14ac:dyDescent="0.25">
      <c r="A17" s="31" t="s">
        <v>72</v>
      </c>
      <c r="B17" s="31" t="s">
        <v>335</v>
      </c>
      <c r="C17" s="31" t="s">
        <v>1</v>
      </c>
      <c r="D17" s="30" t="s">
        <v>151</v>
      </c>
      <c r="E17" s="30" t="s">
        <v>155</v>
      </c>
      <c r="F17" s="32">
        <f>=IF(AND(D17="NOVA",E17="PRESENCIAL"),15,IF(AND(D17="FUP",E17="PRESENCIAL"),7.5,IF(D17="NOVA",7.5,IF(D17="FUP",5,0))))</f>
        <v>7.5</v>
      </c>
      <c r="G17" s="31" t="s">
        <v>336</v>
      </c>
    </row>
    <row r="18" ht="18" customHeight="1" spans="1:7" x14ac:dyDescent="0.25">
      <c r="A18" s="31" t="s">
        <v>72</v>
      </c>
      <c r="B18" s="31" t="s">
        <v>337</v>
      </c>
      <c r="C18" s="31" t="s">
        <v>1</v>
      </c>
      <c r="D18" s="30" t="s">
        <v>151</v>
      </c>
      <c r="E18" s="30" t="s">
        <v>155</v>
      </c>
      <c r="F18" s="32">
        <f>=IF(AND(D18="NOVA",E18="PRESENCIAL"),15,IF(AND(D18="FUP",E18="PRESENCIAL"),7.5,IF(D18="NOVA",7.5,IF(D18="FUP",5,0))))</f>
        <v>7.5</v>
      </c>
      <c r="G18" s="31" t="s">
        <v>338</v>
      </c>
    </row>
    <row r="19" ht="18" customHeight="1" spans="1:7" x14ac:dyDescent="0.25">
      <c r="A19" s="31" t="s">
        <v>296</v>
      </c>
      <c r="B19" s="31" t="s">
        <v>339</v>
      </c>
      <c r="C19" s="31" t="s">
        <v>1</v>
      </c>
      <c r="D19" s="30" t="s">
        <v>151</v>
      </c>
      <c r="E19" s="30" t="s">
        <v>155</v>
      </c>
      <c r="F19" s="32">
        <f>=IF(AND(D19="NOVA",E19="PRESENCIAL"),15,IF(AND(D19="FUP",E19="PRESENCIAL"),7.5,IF(D19="NOVA",7.5,IF(D19="FUP",5,0))))</f>
        <v>7.5</v>
      </c>
      <c r="G19" s="31" t="s">
        <v>340</v>
      </c>
    </row>
    <row r="20" ht="18" customHeight="1" spans="1:7" x14ac:dyDescent="0.25">
      <c r="A20" s="31" t="s">
        <v>169</v>
      </c>
      <c r="B20" s="31" t="s">
        <v>341</v>
      </c>
      <c r="C20" s="31" t="s">
        <v>1</v>
      </c>
      <c r="D20" s="30" t="s">
        <v>151</v>
      </c>
      <c r="E20" s="30" t="s">
        <v>155</v>
      </c>
      <c r="F20" s="32">
        <f>=IF(AND(D20="NOVA",E20="PRESENCIAL"),15,IF(AND(D20="FUP",E20="PRESENCIAL"),7.5,IF(D20="NOVA",7.5,IF(D20="FUP",5,0))))</f>
        <v>7.5</v>
      </c>
      <c r="G20" s="31" t="s">
        <v>342</v>
      </c>
    </row>
    <row r="21" ht="18" customHeight="1" spans="1:7" x14ac:dyDescent="0.25">
      <c r="A21" s="31" t="s">
        <v>108</v>
      </c>
      <c r="B21" s="31" t="s">
        <v>343</v>
      </c>
      <c r="C21" s="31" t="s">
        <v>1</v>
      </c>
      <c r="D21" s="30" t="s">
        <v>151</v>
      </c>
      <c r="E21" s="30" t="s">
        <v>155</v>
      </c>
      <c r="F21" s="32">
        <f>=IF(AND(D21="NOVA",E21="PRESENCIAL"),15,IF(AND(D21="FUP",E21="PRESENCIAL"),7.5,IF(D21="NOVA",7.5,IF(D21="FUP",5,0))))</f>
        <v>7.5</v>
      </c>
      <c r="G21" s="31" t="s">
        <v>344</v>
      </c>
    </row>
    <row r="22" ht="18" customHeight="1" spans="1:7" x14ac:dyDescent="0.25">
      <c r="A22" s="31" t="s">
        <v>91</v>
      </c>
      <c r="B22" s="31" t="s">
        <v>345</v>
      </c>
      <c r="C22" s="31" t="s">
        <v>1</v>
      </c>
      <c r="D22" s="30" t="s">
        <v>151</v>
      </c>
      <c r="E22" s="30" t="s">
        <v>155</v>
      </c>
      <c r="F22" s="32">
        <f>=IF(AND(D22="NOVA",E22="PRESENCIAL"),15,IF(AND(D22="FUP",E22="PRESENCIAL"),7.5,IF(D22="NOVA",7.5,IF(D22="FUP",5,0))))</f>
        <v>7.5</v>
      </c>
      <c r="G22" s="31" t="s">
        <v>346</v>
      </c>
    </row>
    <row r="23" ht="18" customHeight="1" spans="1:7" x14ac:dyDescent="0.25">
      <c r="A23" s="31" t="s">
        <v>69</v>
      </c>
      <c r="B23" s="31" t="s">
        <v>347</v>
      </c>
      <c r="C23" s="31" t="s">
        <v>1</v>
      </c>
      <c r="D23" s="30" t="s">
        <v>151</v>
      </c>
      <c r="E23" s="30" t="s">
        <v>155</v>
      </c>
      <c r="F23" s="32">
        <f>=IF(AND(D23="NOVA",E23="PRESENCIAL"),15,IF(AND(D23="FUP",E23="PRESENCIAL"),7.5,IF(D23="NOVA",7.5,IF(D23="FUP",5,0))))</f>
        <v>7.5</v>
      </c>
      <c r="G23" s="31" t="s">
        <v>348</v>
      </c>
    </row>
    <row r="24" ht="18" customHeight="1" spans="1:7" x14ac:dyDescent="0.25">
      <c r="A24" s="31" t="s">
        <v>69</v>
      </c>
      <c r="B24" s="31" t="s">
        <v>349</v>
      </c>
      <c r="C24" s="31" t="s">
        <v>1</v>
      </c>
      <c r="D24" s="30" t="s">
        <v>151</v>
      </c>
      <c r="E24" s="30" t="s">
        <v>155</v>
      </c>
      <c r="F24" s="32">
        <f>=IF(AND(D24="NOVA",E24="PRESENCIAL"),15,IF(AND(D24="FUP",E24="PRESENCIAL"),7.5,IF(D24="NOVA",7.5,IF(D24="FUP",5,0))))</f>
        <v>7.5</v>
      </c>
      <c r="G24" s="31" t="s">
        <v>350</v>
      </c>
    </row>
    <row r="25" ht="18" customHeight="1" spans="1:7" x14ac:dyDescent="0.25">
      <c r="A25" s="31" t="s">
        <v>69</v>
      </c>
      <c r="B25" s="31" t="s">
        <v>351</v>
      </c>
      <c r="C25" s="31" t="s">
        <v>1</v>
      </c>
      <c r="D25" s="30" t="s">
        <v>151</v>
      </c>
      <c r="E25" s="30" t="s">
        <v>155</v>
      </c>
      <c r="F25" s="32">
        <f>=IF(AND(D25="NOVA",E25="PRESENCIAL"),15,IF(AND(D25="FUP",E25="PRESENCIAL"),7.5,IF(D25="NOVA",7.5,IF(D25="FUP",5,0))))</f>
        <v>7.5</v>
      </c>
      <c r="G25" s="31" t="s">
        <v>352</v>
      </c>
    </row>
    <row r="26" ht="18" customHeight="1" spans="1:7" x14ac:dyDescent="0.25">
      <c r="A26" s="31" t="s">
        <v>65</v>
      </c>
      <c r="B26" s="31" t="s">
        <v>353</v>
      </c>
      <c r="C26" s="31" t="s">
        <v>1</v>
      </c>
      <c r="D26" s="30" t="s">
        <v>151</v>
      </c>
      <c r="E26" s="30" t="s">
        <v>155</v>
      </c>
      <c r="F26" s="32">
        <f>=IF(AND(D26="NOVA",E26="PRESENCIAL"),15,IF(AND(D26="FUP",E26="PRESENCIAL"),7.5,IF(D26="NOVA",7.5,IF(D26="FUP",5,0))))</f>
        <v>7.5</v>
      </c>
      <c r="G26" s="31" t="s">
        <v>354</v>
      </c>
    </row>
    <row r="27" ht="18" customHeight="1" spans="1:7" x14ac:dyDescent="0.25">
      <c r="A27" s="31" t="s">
        <v>118</v>
      </c>
      <c r="B27" s="31" t="s">
        <v>355</v>
      </c>
      <c r="C27" s="31" t="s">
        <v>1</v>
      </c>
      <c r="D27" s="30" t="s">
        <v>151</v>
      </c>
      <c r="E27" s="30" t="s">
        <v>155</v>
      </c>
      <c r="F27" s="32">
        <f>=IF(AND(D27="NOVA",E27="PRESENCIAL"),15,IF(AND(D27="FUP",E27="PRESENCIAL"),7.5,IF(D27="NOVA",7.5,IF(D27="FUP",5,0))))</f>
        <v>7.5</v>
      </c>
      <c r="G27" s="31" t="s">
        <v>356</v>
      </c>
    </row>
    <row r="28" ht="18" customHeight="1" spans="1:7" x14ac:dyDescent="0.25">
      <c r="A28" s="31" t="s">
        <v>114</v>
      </c>
      <c r="B28" s="31" t="s">
        <v>357</v>
      </c>
      <c r="C28" s="31" t="s">
        <v>1</v>
      </c>
      <c r="D28" s="30" t="s">
        <v>151</v>
      </c>
      <c r="E28" s="30" t="s">
        <v>155</v>
      </c>
      <c r="F28" s="32">
        <f>=IF(AND(D28="NOVA",E28="PRESENCIAL"),15,IF(AND(D28="FUP",E28="PRESENCIAL"),7.5,IF(D28="NOVA",7.5,IF(D28="FUP",5,0))))</f>
        <v>7.5</v>
      </c>
      <c r="G28" s="31" t="s">
        <v>358</v>
      </c>
    </row>
    <row r="29" ht="18" customHeight="1" spans="1:7" x14ac:dyDescent="0.25">
      <c r="A29" s="31" t="s">
        <v>207</v>
      </c>
      <c r="B29" s="31" t="s">
        <v>359</v>
      </c>
      <c r="C29" s="31" t="s">
        <v>1</v>
      </c>
      <c r="D29" s="30" t="s">
        <v>151</v>
      </c>
      <c r="E29" s="30" t="s">
        <v>155</v>
      </c>
      <c r="F29" s="32">
        <f>=IF(AND(D29="NOVA",E29="PRESENCIAL"),15,IF(AND(D29="FUP",E29="PRESENCIAL"),7.5,IF(D29="NOVA",7.5,IF(D29="FUP",5,0))))</f>
        <v>7.5</v>
      </c>
      <c r="G29" s="31" t="s">
        <v>360</v>
      </c>
    </row>
    <row r="31" spans="1:6" x14ac:dyDescent="0.25">
      <c r="A31" t="s">
        <v>1</v>
      </c>
      <c r="B31" s="8" t="s">
        <v>180</v>
      </c>
      <c r="C31" t="s">
        <v>1</v>
      </c>
      <c r="D31" s="40" t="s">
        <v>361</v>
      </c>
      <c r="E31" t="s">
        <v>1</v>
      </c>
      <c r="F31" s="7">
        <f>=SUM(F6:F30)</f>
        <v>177.5</v>
      </c>
    </row>
  </sheetData>
  <mergeCells count="1">
    <mergeCell ref="A1:G1"/>
  </mergeCells>
  <dataValidations count="4">
    <dataValidation type="list" sqref="D10:D29">
      <formula1>"NOVA,FUP"</formula1>
    </dataValidation>
    <dataValidation type="list" sqref="D6:D29">
      <formula1>"NOVA,FUP"</formula1>
    </dataValidation>
    <dataValidation type="list" sqref="E10:E29">
      <formula1>"VIDEO CONFERÊNCIA,PRESENCIAL"</formula1>
    </dataValidation>
    <dataValidation type="list" sqref="E6:E29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5" t="s">
        <v>362</v>
      </c>
      <c r="B1" s="35"/>
      <c r="C1" s="35"/>
      <c r="D1" s="35"/>
      <c r="E1" s="35"/>
      <c r="F1" s="35"/>
      <c r="G1" s="35"/>
    </row>
    <row r="3" ht="13" customHeight="1" spans="1:2" x14ac:dyDescent="0.25">
      <c r="A3" t="s">
        <v>1</v>
      </c>
      <c r="B3" s="36" t="s">
        <v>183</v>
      </c>
    </row>
    <row r="4" ht="22" customHeight="1" spans="1:7" x14ac:dyDescent="0.25">
      <c r="A4" s="3" t="s">
        <v>144</v>
      </c>
      <c r="B4" s="3" t="s">
        <v>57</v>
      </c>
      <c r="C4" s="3" t="s">
        <v>145</v>
      </c>
      <c r="D4" s="3" t="s">
        <v>146</v>
      </c>
      <c r="E4" s="3" t="s">
        <v>147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148</v>
      </c>
    </row>
    <row r="6" ht="18" customHeight="1" spans="1:7" x14ac:dyDescent="0.25">
      <c r="A6" s="31" t="s">
        <v>257</v>
      </c>
      <c r="B6" s="31" t="s">
        <v>363</v>
      </c>
      <c r="C6" s="31" t="s">
        <v>1</v>
      </c>
      <c r="D6" s="30" t="s">
        <v>151</v>
      </c>
      <c r="E6" s="30" t="s">
        <v>155</v>
      </c>
      <c r="F6" s="32">
        <f>=IF(AND(D6="NOVA",E6="PRESENCIAL"),15,IF(AND(D6="FUP",E6="PRESENCIAL"),7.5,IF(D6="NOVA",7.5,IF(D6="FUP",5,0))))</f>
        <v>7.5</v>
      </c>
      <c r="G6" s="31" t="s">
        <v>364</v>
      </c>
    </row>
    <row r="7" ht="18" customHeight="1" spans="1:7" x14ac:dyDescent="0.25">
      <c r="A7" s="31" t="s">
        <v>132</v>
      </c>
      <c r="B7" s="31" t="s">
        <v>365</v>
      </c>
      <c r="C7" s="31" t="s">
        <v>1</v>
      </c>
      <c r="D7" s="30" t="s">
        <v>151</v>
      </c>
      <c r="E7" s="30" t="s">
        <v>155</v>
      </c>
      <c r="F7" s="32">
        <f>=IF(AND(D7="NOVA",E7="PRESENCIAL"),15,IF(AND(D7="FUP",E7="PRESENCIAL"),7.5,IF(D7="NOVA",7.5,IF(D7="FUP",5,0))))</f>
        <v>7.5</v>
      </c>
      <c r="G7" s="31" t="s">
        <v>366</v>
      </c>
    </row>
    <row r="8" ht="18" customHeight="1" spans="1:7" x14ac:dyDescent="0.25">
      <c r="A8" s="31" t="s">
        <v>72</v>
      </c>
      <c r="B8" s="31" t="s">
        <v>367</v>
      </c>
      <c r="C8" s="31" t="s">
        <v>1</v>
      </c>
      <c r="D8" s="30" t="s">
        <v>151</v>
      </c>
      <c r="E8" s="30" t="s">
        <v>155</v>
      </c>
      <c r="F8" s="32">
        <f>=IF(AND(D8="NOVA",E8="PRESENCIAL"),15,IF(AND(D8="FUP",E8="PRESENCIAL"),7.5,IF(D8="NOVA",7.5,IF(D8="FUP",5,0))))</f>
        <v>7.5</v>
      </c>
      <c r="G8" s="31" t="s">
        <v>368</v>
      </c>
    </row>
    <row r="9" ht="18" customHeight="1" spans="1:7" x14ac:dyDescent="0.25">
      <c r="A9" s="31" t="s">
        <v>296</v>
      </c>
      <c r="B9" s="31" t="s">
        <v>369</v>
      </c>
      <c r="C9" s="31" t="s">
        <v>1</v>
      </c>
      <c r="D9" s="30" t="s">
        <v>151</v>
      </c>
      <c r="E9" s="30" t="s">
        <v>155</v>
      </c>
      <c r="F9" s="32">
        <f>=IF(AND(D9="NOVA",E9="PRESENCIAL"),15,IF(AND(D9="FUP",E9="PRESENCIAL"),7.5,IF(D9="NOVA",7.5,IF(D9="FUP",5,0))))</f>
        <v>7.5</v>
      </c>
      <c r="G9" s="31" t="s">
        <v>370</v>
      </c>
    </row>
    <row r="10" ht="18" customHeight="1" spans="1:7" x14ac:dyDescent="0.25">
      <c r="A10" s="31" t="s">
        <v>296</v>
      </c>
      <c r="B10" s="31" t="s">
        <v>371</v>
      </c>
      <c r="C10" s="31" t="s">
        <v>1</v>
      </c>
      <c r="D10" s="30" t="s">
        <v>151</v>
      </c>
      <c r="E10" s="30" t="s">
        <v>155</v>
      </c>
      <c r="F10" s="32">
        <f>=IF(AND(D10="NOVA",E10="PRESENCIAL"),15,IF(AND(D10="FUP",E10="PRESENCIAL"),7.5,IF(D10="NOVA",7.5,IF(D10="FUP",5,0))))</f>
        <v>7.5</v>
      </c>
      <c r="G10" s="31" t="s">
        <v>372</v>
      </c>
    </row>
    <row r="11" ht="18" customHeight="1" spans="1:7" x14ac:dyDescent="0.25">
      <c r="A11" s="31" t="s">
        <v>169</v>
      </c>
      <c r="B11" s="31" t="s">
        <v>373</v>
      </c>
      <c r="C11" s="31" t="s">
        <v>1</v>
      </c>
      <c r="D11" s="30" t="s">
        <v>151</v>
      </c>
      <c r="E11" s="30" t="s">
        <v>155</v>
      </c>
      <c r="F11" s="32">
        <f>=IF(AND(D11="NOVA",E11="PRESENCIAL"),15,IF(AND(D11="FUP",E11="PRESENCIAL"),7.5,IF(D11="NOVA",7.5,IF(D11="FUP",5,0))))</f>
        <v>7.5</v>
      </c>
      <c r="G11" s="31" t="s">
        <v>374</v>
      </c>
    </row>
    <row r="13" spans="1:6" x14ac:dyDescent="0.25">
      <c r="A13" t="s">
        <v>1</v>
      </c>
      <c r="B13" s="8" t="s">
        <v>180</v>
      </c>
      <c r="C13" t="s">
        <v>1</v>
      </c>
      <c r="D13" s="40" t="s">
        <v>375</v>
      </c>
      <c r="E13" t="s">
        <v>1</v>
      </c>
      <c r="F13" s="7">
        <f>=SUM(F6:F12)</f>
        <v>45</v>
      </c>
    </row>
  </sheetData>
  <mergeCells count="1">
    <mergeCell ref="A1:G1"/>
  </mergeCells>
  <dataValidations count="4">
    <dataValidation type="list" sqref="D10:D11">
      <formula1>"NOVA,FUP"</formula1>
    </dataValidation>
    <dataValidation type="list" sqref="D6:D11">
      <formula1>"NOVA,FUP"</formula1>
    </dataValidation>
    <dataValidation type="list" sqref="E10:E11">
      <formula1>"VIDEO CONFERÊNCIA,PRESENCIAL"</formula1>
    </dataValidation>
    <dataValidation type="list" sqref="E6:E11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Negócios Fechados</vt:lpstr>
      <vt:lpstr>Igor Vasconcelos</vt:lpstr>
      <vt:lpstr>Gabriel</vt:lpstr>
      <vt:lpstr>Michelle</vt:lpstr>
      <vt:lpstr>Kailany</vt:lpstr>
      <vt:lpstr>Ana Karolayne</vt:lpstr>
      <vt:lpstr>Igor</vt:lpstr>
      <vt:lpstr>Larissa</vt:lpstr>
      <vt:lpstr>Ana Belle</vt:lpstr>
      <vt:lpstr>Leticia</vt:lpstr>
      <vt:lpstr>Ana Beatriz</vt:lpstr>
      <vt:lpstr>Lawanny</vt:lpstr>
      <vt:lpstr>Railanne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2026-08-20T15:21:37Z</dcterms:created>
  <dcterms:modified xsi:type="dcterms:W3CDTF">2026-08-20T15:21:37Z</dcterms:modified>
</cp:coreProperties>
</file>