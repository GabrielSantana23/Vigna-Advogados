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6384" windowHeight="8192" firstSheet="1" activeTab="2"/>
  </bookViews>
  <sheets>
    <sheet sheetId="1" name="Visão_Geral" state="visible" r:id="rId4"/>
    <sheet sheetId="2" name="Resumo_1_Semestre" state="visible" r:id="rId5"/>
    <sheet sheetId="3" name="Lançamento_Reuniões" state="visible" r:id="rId6"/>
    <sheet sheetId="4" name="Lançamento_Ligações" state="visible" r:id="rId7"/>
    <sheet sheetId="5" name="Propostas_Enviadas" state="visible" r:id="rId8"/>
    <sheet sheetId="6" name="Equipe_SDR" state="visible" r:id="rId9"/>
    <sheet sheetId="7" name="Listas" state="hidden" r:id="rId10"/>
  </sheets>
  <definedNames>
    <definedName name="ListaEstado">Listas!$S$2:$S$28</definedName>
    <definedName name="ListaSDR">Listas!$A$2:$A$13</definedName>
    <definedName name="ListaSetor">Listas!$K$2:$K$35</definedName>
    <definedName name="ListaSimNao">Listas!$E$2:$E$3</definedName>
    <definedName name="ListaStatus">Listas!$C$2:$C$5</definedName>
    <definedName name="ListaStatusAtividade">Listas!$O$2:$O$3</definedName>
    <definedName name="ListaStatusProposta">Listas!$G$2:$G$5</definedName>
    <definedName name="ListaTabulacaoLigacao">Listas!$Q$2:$Q$9</definedName>
    <definedName name="ListaTipoProposta">Listas!$M$2:$M$69</definedName>
    <definedName name="ListaTipoVisao">Listas!$I$2:$I$4</definedName>
  </definedNames>
  <calcPr calcId="171027"/>
</workbook>
</file>

<file path=xl/sharedStrings.xml><?xml version="1.0" encoding="utf-8"?>
<sst xmlns="http://schemas.openxmlformats.org/spreadsheetml/2006/main" count="2483" uniqueCount="920">
  <si>
    <t>VISÃO GERAL COMERCIAL</t>
  </si>
  <si>
    <t>Escolha o tipo de visão e a data de referência. Tudo abaixo atualiza sozinho.</t>
  </si>
  <si>
    <t>Tipo de Visão:</t>
  </si>
  <si>
    <t>Mensal</t>
  </si>
  <si>
    <t>Início período</t>
  </si>
  <si>
    <t>Mês ref. início</t>
  </si>
  <si>
    <t>Data de referência:</t>
  </si>
  <si>
    <t>Fim período</t>
  </si>
  <si>
    <t>Mês ref. fim</t>
  </si>
  <si>
    <t>NÚMEROS DO PERÍODO SELECIONADO</t>
  </si>
  <si>
    <t>LIGAÇÕES</t>
  </si>
  <si>
    <t>MARCADAS</t>
  </si>
  <si>
    <t>REALIZADAS</t>
  </si>
  <si>
    <t>CANCELADAS</t>
  </si>
  <si>
    <t>REMANEJADAS</t>
  </si>
  <si>
    <t>PROPOSTAS ENVIADAS</t>
  </si>
  <si>
    <t>NEGÓCIOS FECHADOS</t>
  </si>
  <si>
    <t>TAXAS DE CONVERSÃO (período selecionado)</t>
  </si>
  <si>
    <t>LIGAÇÃO → MARCADA</t>
  </si>
  <si>
    <t>MARCADA → REALIZADA</t>
  </si>
  <si>
    <t>REALIZADA → PROPOSTA</t>
  </si>
  <si>
    <t>PROPOSTA → FECHAMENTO</t>
  </si>
  <si>
    <t>TAXA DE NO SHOW</t>
  </si>
  <si>
    <t>TAXA DE REMANEJAMENTO</t>
  </si>
  <si>
    <t>GERAL: MARCADA → FECHAMENTO</t>
  </si>
  <si>
    <t>META MENSAL (mês da data de referência) — quanto falta para bater</t>
  </si>
  <si>
    <t>Métrica</t>
  </si>
  <si>
    <t>Meta do Mês</t>
  </si>
  <si>
    <t>Realizado</t>
  </si>
  <si>
    <t>Faltam</t>
  </si>
  <si>
    <t>% Atingido</t>
  </si>
  <si>
    <t>Reuniões Agendadas</t>
  </si>
  <si>
    <t>Reuniões Realizadas</t>
  </si>
  <si>
    <t>Negócios Fechados</t>
  </si>
  <si>
    <t>* Edite a coluna "Meta do Mês" (em azul) com os números que quiser bater.</t>
  </si>
  <si>
    <t>RANKING POR SDR (período selecionado)</t>
  </si>
  <si>
    <t>SDR</t>
  </si>
  <si>
    <t>Ligações</t>
  </si>
  <si>
    <t>Marcadas</t>
  </si>
  <si>
    <t>Realizadas</t>
  </si>
  <si>
    <t>Canceladas</t>
  </si>
  <si>
    <t>Remanejadas</t>
  </si>
  <si>
    <t>Propostas</t>
  </si>
  <si>
    <t>Fechados</t>
  </si>
  <si>
    <t>Larissa Santos - Filial Porto Alegre</t>
  </si>
  <si>
    <t>Railanne Rosario do Carmo - Filial Alpha</t>
  </si>
  <si>
    <t>Maria Furtado - Filial RS</t>
  </si>
  <si>
    <t>Ana Belle - Filial PR</t>
  </si>
  <si>
    <t>Lawanny Souza Brasil Luz - Filial Alpha</t>
  </si>
  <si>
    <t>Ana Karolayne - Matriz SP</t>
  </si>
  <si>
    <t>Kailany Santos da Silva - Matriz SP</t>
  </si>
  <si>
    <t>Gabriel Santana Barra - Matriz SP</t>
  </si>
  <si>
    <t>Igor Vasconcelos - Matriz SP</t>
  </si>
  <si>
    <t>Willian Gaia - filial Alphaville Vignatax</t>
  </si>
  <si>
    <t>Paola Azevedo - Unidade PR</t>
  </si>
  <si>
    <t>Cleber Scarparo - Filial Campinas</t>
  </si>
  <si>
    <t>TABULAÇÃO DE LIGAÇÕES (período selecionado, só Finalizada)</t>
  </si>
  <si>
    <t>Motivo</t>
  </si>
  <si>
    <t>Quantidade</t>
  </si>
  <si>
    <t>% do Total</t>
  </si>
  <si>
    <t>Decisor não atendeu</t>
  </si>
  <si>
    <t>Recepcionista não transferiu</t>
  </si>
  <si>
    <t>Ligação caiu</t>
  </si>
  <si>
    <t>Decisor ausente/férias</t>
  </si>
  <si>
    <t>Recusa/Objeção</t>
  </si>
  <si>
    <t>Sem sucesso</t>
  </si>
  <si>
    <t>Reunião marcada</t>
  </si>
  <si>
    <t>Retorno agendado</t>
  </si>
  <si>
    <t>RESUMO DO 1º SEMESTRE — REUNIÕES E PROPOSTAS</t>
  </si>
  <si>
    <t>Números consolidados de Janeiro a Junho, com base no histórico mensal por SDR (aba de referência: planilha "junho").</t>
  </si>
  <si>
    <t>TOTAIS DO SEMESTRE POR MÊS</t>
  </si>
  <si>
    <t>Mês</t>
  </si>
  <si>
    <t>Propostas Enviadas</t>
  </si>
  <si>
    <t>Janeiro</t>
  </si>
  <si>
    <t>Fevereiro</t>
  </si>
  <si>
    <t>Março</t>
  </si>
  <si>
    <t>Abril</t>
  </si>
  <si>
    <t>Maio</t>
  </si>
  <si>
    <t>Junho</t>
  </si>
  <si>
    <t>TOTAL 1º SEMESTRE</t>
  </si>
  <si>
    <t>DETALHE POR SDR E MÊS</t>
  </si>
  <si>
    <t>Quarter</t>
  </si>
  <si>
    <t>Mês de Contratação</t>
  </si>
  <si>
    <t>Estado</t>
  </si>
  <si>
    <t>Agendado</t>
  </si>
  <si>
    <t>Proposta</t>
  </si>
  <si>
    <t>Fechado</t>
  </si>
  <si>
    <t>Meta Ag.</t>
  </si>
  <si>
    <t>Meta Real.</t>
  </si>
  <si>
    <t>Status</t>
  </si>
  <si>
    <t>Q1</t>
  </si>
  <si>
    <t>Nathália</t>
  </si>
  <si>
    <t>PR</t>
  </si>
  <si>
    <t>Desligado</t>
  </si>
  <si>
    <t>Ana Belle</t>
  </si>
  <si>
    <t>Ativo</t>
  </si>
  <si>
    <t>Victor</t>
  </si>
  <si>
    <t>MG</t>
  </si>
  <si>
    <t>Gabriela</t>
  </si>
  <si>
    <t>RS</t>
  </si>
  <si>
    <t>Clara</t>
  </si>
  <si>
    <t>ALPHA</t>
  </si>
  <si>
    <t>Alessandra</t>
  </si>
  <si>
    <t>CAMPINAS</t>
  </si>
  <si>
    <t>Leticia Mascarin</t>
  </si>
  <si>
    <t>Ryan</t>
  </si>
  <si>
    <t>Lawanny</t>
  </si>
  <si>
    <t>Ana Beatriz</t>
  </si>
  <si>
    <t>Gabriel Santana</t>
  </si>
  <si>
    <t>MATRIZ</t>
  </si>
  <si>
    <t>Ana Karolayne</t>
  </si>
  <si>
    <t>Kailany</t>
  </si>
  <si>
    <t>Michelle</t>
  </si>
  <si>
    <t>Igor Vasconcelos</t>
  </si>
  <si>
    <t>Fabiola</t>
  </si>
  <si>
    <t>Maria</t>
  </si>
  <si>
    <t>Igor Souza</t>
  </si>
  <si>
    <t>Milena</t>
  </si>
  <si>
    <t>Q2</t>
  </si>
  <si>
    <t>Leticia Baradeli</t>
  </si>
  <si>
    <t>Railanne</t>
  </si>
  <si>
    <t>Larissa</t>
  </si>
  <si>
    <t>Pamela pedro</t>
  </si>
  <si>
    <t>Obs.: esta aba é apenas um resumo histórico (Jan–Jun), importado da planilha "junho". Ela não alimenta as abas de lançamento (Lançamento_Reuniões / Lançamento_Ligações / Propostas_Enviadas) nem o dashboard — que seguem sendo alimentados só com o lançamento diário a partir de Julho.</t>
  </si>
  <si>
    <t>Data da Reunião</t>
  </si>
  <si>
    <t>Empresa</t>
  </si>
  <si>
    <t>Segmento</t>
  </si>
  <si>
    <t>CNPJ</t>
  </si>
  <si>
    <t>Nome do Responsável</t>
  </si>
  <si>
    <t>Cargo</t>
  </si>
  <si>
    <t>Cidade</t>
  </si>
  <si>
    <t>Consultor/Especialista</t>
  </si>
  <si>
    <t>Teve Proposta</t>
  </si>
  <si>
    <t>Tipo de Proposta</t>
  </si>
  <si>
    <t>Negócio Fechado</t>
  </si>
  <si>
    <t>CONSTRUTORA CLARK LTDA</t>
  </si>
  <si>
    <t>Construtora</t>
  </si>
  <si>
    <t>65.527.939/0001-54</t>
  </si>
  <si>
    <t>Lourdes</t>
  </si>
  <si>
    <t>RH</t>
  </si>
  <si>
    <t>São Paulo</t>
  </si>
  <si>
    <t>SP</t>
  </si>
  <si>
    <t>Pamela</t>
  </si>
  <si>
    <t>Cancelada</t>
  </si>
  <si>
    <t>XILOLITE S/A</t>
  </si>
  <si>
    <t>Prestadora de serviços</t>
  </si>
  <si>
    <t>Não localizado</t>
  </si>
  <si>
    <t>Fabiano</t>
  </si>
  <si>
    <t>Brumado</t>
  </si>
  <si>
    <t>BA</t>
  </si>
  <si>
    <t>Igor e Cinthia</t>
  </si>
  <si>
    <t>Realizada</t>
  </si>
  <si>
    <t>Sim</t>
  </si>
  <si>
    <t>MINUSA TRATORPEÇAS</t>
  </si>
  <si>
    <t>84.943.067/0001-50</t>
  </si>
  <si>
    <t>Luciana</t>
  </si>
  <si>
    <t>Lages</t>
  </si>
  <si>
    <t>SC</t>
  </si>
  <si>
    <t>Paola e Ana Beatriz</t>
  </si>
  <si>
    <t>PBL ASSESSORIA DE COMERCIO EXTERIOR LTDA</t>
  </si>
  <si>
    <t>57.108.730/0001-28</t>
  </si>
  <si>
    <t>Tatiana</t>
  </si>
  <si>
    <t>Contábil</t>
  </si>
  <si>
    <t>Igor Souza Ferreira - Matriz SP</t>
  </si>
  <si>
    <t>TRANSMAGNO TRANSPORTES RODOVIARIOS LTDA</t>
  </si>
  <si>
    <t>Transportes</t>
  </si>
  <si>
    <t>03.056.739/0001-03</t>
  </si>
  <si>
    <t>Benjamim</t>
  </si>
  <si>
    <t>Jurídico</t>
  </si>
  <si>
    <t>Goiânia</t>
  </si>
  <si>
    <t>GO</t>
  </si>
  <si>
    <t>Paola</t>
  </si>
  <si>
    <t>UY3 SOCIEDADE DE CREDITO DIRETO S/A</t>
  </si>
  <si>
    <t>Investimento</t>
  </si>
  <si>
    <t>39.587.424/0001-30</t>
  </si>
  <si>
    <t>Dayana Nogueira</t>
  </si>
  <si>
    <t>Porto Alegre</t>
  </si>
  <si>
    <t>Tayna Bregnoli</t>
  </si>
  <si>
    <t>MULTIPRINT ETIQUETAS LTDA</t>
  </si>
  <si>
    <t>72.499.072/0001-36</t>
  </si>
  <si>
    <t>Renata</t>
  </si>
  <si>
    <t>Jaraguá do Sul</t>
  </si>
  <si>
    <t>MANUFATURA DE METAIS MAGNET LTDA</t>
  </si>
  <si>
    <t>Indústria em geral</t>
  </si>
  <si>
    <t>61.155.529/0001-79</t>
  </si>
  <si>
    <t>Edson</t>
  </si>
  <si>
    <t>São Bernardo do Campo</t>
  </si>
  <si>
    <t>Paola e Willian Gaia</t>
  </si>
  <si>
    <t>TERRITORIAL TRANSPORTES E EMPREENDIMENTOS LTDA</t>
  </si>
  <si>
    <t>03.889.255/0001-45</t>
  </si>
  <si>
    <t>Eva</t>
  </si>
  <si>
    <t>Santa Luzia</t>
  </si>
  <si>
    <t>Paola e João</t>
  </si>
  <si>
    <t>TGM MAQUINAS E EQUIPAMENTOS</t>
  </si>
  <si>
    <t>02.355.505/0001-02</t>
  </si>
  <si>
    <t>Adilson</t>
  </si>
  <si>
    <t>Corupá</t>
  </si>
  <si>
    <t>Michelle Valente Araujo - Matriz SP</t>
  </si>
  <si>
    <t>Futura</t>
  </si>
  <si>
    <t>CONCESSIONARIA DO AEROPORTO INTERNACIONAL DE GUARULHOS SA</t>
  </si>
  <si>
    <t>Guarulhos</t>
  </si>
  <si>
    <t>Paulo Vigna, Tayna Bregnoli e Pamela Pedro</t>
  </si>
  <si>
    <t>ASSOCIACAO EDUCACIONAL LECRISTO</t>
  </si>
  <si>
    <t>Educação</t>
  </si>
  <si>
    <t>80.790.298/0001-10</t>
  </si>
  <si>
    <t>Paolla Fragnan</t>
  </si>
  <si>
    <t>Não informado</t>
  </si>
  <si>
    <t>Tayna Bregnoli e Pamela Pedro</t>
  </si>
  <si>
    <t>Tayna Bregnoli e Marlene teixeira</t>
  </si>
  <si>
    <t>PISAFIX ADESIVOS E SELANTES LTDA</t>
  </si>
  <si>
    <t>15.265.287/0001-59</t>
  </si>
  <si>
    <t>Vagner</t>
  </si>
  <si>
    <t>Diretor</t>
  </si>
  <si>
    <t>Balneário Rincão</t>
  </si>
  <si>
    <t>Pamela e Joao Victor</t>
  </si>
  <si>
    <t>VIDEPLAST INDUSTRIA DE EMBALAGENS LTDA</t>
  </si>
  <si>
    <t>79.687.588/0001-53</t>
  </si>
  <si>
    <t>Mariangela</t>
  </si>
  <si>
    <t>Gerente de RH</t>
  </si>
  <si>
    <t>Videira</t>
  </si>
  <si>
    <t>Pamela Pedro e Igor Vasconcelos</t>
  </si>
  <si>
    <t>TRINITY ENERGIAS RENOVAVEIS S.A</t>
  </si>
  <si>
    <t>Energia</t>
  </si>
  <si>
    <t>17.077.752/0001-53</t>
  </si>
  <si>
    <t>Flavio</t>
  </si>
  <si>
    <t>Pamela Pedro e Mayara Leite</t>
  </si>
  <si>
    <t>TRANSPORTES MARVEL LTDA</t>
  </si>
  <si>
    <t>órgãos públicos</t>
  </si>
  <si>
    <t>83.084.301/0001-78</t>
  </si>
  <si>
    <t>Andreia</t>
  </si>
  <si>
    <t>Segurança do Trabalho</t>
  </si>
  <si>
    <t>Chapecó</t>
  </si>
  <si>
    <t>LISBOA MARCENARIA E VIDRACARIA LTDA</t>
  </si>
  <si>
    <t>Indústria de Manufatura</t>
  </si>
  <si>
    <t>04.726.003/0001-68</t>
  </si>
  <si>
    <t>Allan</t>
  </si>
  <si>
    <t>Mossoró</t>
  </si>
  <si>
    <t>RN</t>
  </si>
  <si>
    <t>Paola e Igor</t>
  </si>
  <si>
    <t>FG LABORATORIO OTICO LTDA</t>
  </si>
  <si>
    <t>Saúde</t>
  </si>
  <si>
    <t>03.495.075/0001-89</t>
  </si>
  <si>
    <t>Conceição</t>
  </si>
  <si>
    <t>Financeiro</t>
  </si>
  <si>
    <t>Salvador</t>
  </si>
  <si>
    <t>Cleber</t>
  </si>
  <si>
    <t>INDAIAL PAPEL EMBALAGENS LTDA</t>
  </si>
  <si>
    <t>ALEGRAF INDUSTRIA GRAFICA LTDA</t>
  </si>
  <si>
    <t>03.794.550/0001-18</t>
  </si>
  <si>
    <t>Flavia</t>
  </si>
  <si>
    <t>Administrativo</t>
  </si>
  <si>
    <t>Cuiabá</t>
  </si>
  <si>
    <t>MT</t>
  </si>
  <si>
    <t>Paola e William</t>
  </si>
  <si>
    <t>AGRO INDUSTRIAL ITUBERA</t>
  </si>
  <si>
    <t>Agronegócio</t>
  </si>
  <si>
    <t>13.543.822/0001-60</t>
  </si>
  <si>
    <t>Elionora</t>
  </si>
  <si>
    <t>Coordenadora de RH</t>
  </si>
  <si>
    <t>Ituberá</t>
  </si>
  <si>
    <t>Igor</t>
  </si>
  <si>
    <t>DR. LUIZ NAZAR - indicação Dr. Ernesto</t>
  </si>
  <si>
    <t>CG TELHAS COMERCIO, INDUSTRIA E SERVICOS DE FERRO E ACO LTDA</t>
  </si>
  <si>
    <t>26.861.930/0001-23</t>
  </si>
  <si>
    <t>Lucimara</t>
  </si>
  <si>
    <t>Campo Grande</t>
  </si>
  <si>
    <t>MS</t>
  </si>
  <si>
    <t>GALWAN CONSTRUTORA E INCORPORADORA LTDA</t>
  </si>
  <si>
    <t>31.705.692/0001-05</t>
  </si>
  <si>
    <t>Barbara</t>
  </si>
  <si>
    <t>Vila Velha</t>
  </si>
  <si>
    <t>ES</t>
  </si>
  <si>
    <t>Agropecuaria Irmaos Walker Ltda</t>
  </si>
  <si>
    <t>44.666.256/0001-08</t>
  </si>
  <si>
    <t>Willian</t>
  </si>
  <si>
    <t>Fiscal</t>
  </si>
  <si>
    <t>Luís Eduardo Magalhães</t>
  </si>
  <si>
    <t>UHY BENDORAYTES &amp; CIA AUDITORES INDEPENDENTES</t>
  </si>
  <si>
    <t>Não</t>
  </si>
  <si>
    <t>Orcali Servicos de Seguranca Ltda</t>
  </si>
  <si>
    <t>Segurança</t>
  </si>
  <si>
    <t>83.930.214/0001-94</t>
  </si>
  <si>
    <t>Ana Righetto</t>
  </si>
  <si>
    <t>Compliance</t>
  </si>
  <si>
    <t>Florianópolis</t>
  </si>
  <si>
    <t>LEROY MERLIN COMPANHIA DE BRICOLAGEM S/A</t>
  </si>
  <si>
    <t>Comércio Varejista</t>
  </si>
  <si>
    <t>01.438.784/0001-05</t>
  </si>
  <si>
    <t>Cristiane</t>
  </si>
  <si>
    <t>Pamela e Tayna</t>
  </si>
  <si>
    <t>CIVIL ENGENHARIA LTDA</t>
  </si>
  <si>
    <t>01.710.170/0001-22</t>
  </si>
  <si>
    <t>Bruna</t>
  </si>
  <si>
    <t>Brasília</t>
  </si>
  <si>
    <t>DF</t>
  </si>
  <si>
    <t>Granjas Sao Jose</t>
  </si>
  <si>
    <t>07.591.258/0001-59</t>
  </si>
  <si>
    <t>Henrique</t>
  </si>
  <si>
    <t>Horizonte</t>
  </si>
  <si>
    <t>CE</t>
  </si>
  <si>
    <t>TERRA LUZ TRANSPORTES S/A</t>
  </si>
  <si>
    <t>AMMAC INDUSTRIA E COMERCIO DE ALIMENTOS LTDA</t>
  </si>
  <si>
    <t>63.737.852/0001-86</t>
  </si>
  <si>
    <t>Lara</t>
  </si>
  <si>
    <t>Manaus</t>
  </si>
  <si>
    <t>AM</t>
  </si>
  <si>
    <t>Pamela Pedro</t>
  </si>
  <si>
    <t>TRANSPORTES F.S. S.A</t>
  </si>
  <si>
    <t>33.943.267/0001-71</t>
  </si>
  <si>
    <t>Carlos</t>
  </si>
  <si>
    <t>Duque de Caxias</t>
  </si>
  <si>
    <t>RJ</t>
  </si>
  <si>
    <t>Edilaine</t>
  </si>
  <si>
    <t>Produmaster Industria De Compostos Plasticos Ltda</t>
  </si>
  <si>
    <t>Belluno Pagamentos</t>
  </si>
  <si>
    <t>81.514.473/0001-09</t>
  </si>
  <si>
    <t>Arituza</t>
  </si>
  <si>
    <t>Paola e Willian</t>
  </si>
  <si>
    <t>VIGNATAX - REVISÃO FISCAL</t>
  </si>
  <si>
    <t>CNH INDUSTRIAL BRASIL LTDA.</t>
  </si>
  <si>
    <t>01.844.555/0001-82</t>
  </si>
  <si>
    <t>Claudio</t>
  </si>
  <si>
    <t>Nova Lima</t>
  </si>
  <si>
    <t>Tayna Bregnoli e Pamela</t>
  </si>
  <si>
    <t>SKYMARK GERENCIAMENTO DE RISCOS LTDA</t>
  </si>
  <si>
    <t>Tecnologia</t>
  </si>
  <si>
    <t>04.755.777/0001-17</t>
  </si>
  <si>
    <t>Clarice e Eduard</t>
  </si>
  <si>
    <t>Osasco</t>
  </si>
  <si>
    <t>Pamela, Tayna e Edilaine</t>
  </si>
  <si>
    <t>VALLOUREC SOLUCOES TUBULARES DO BRASIL S.A.</t>
  </si>
  <si>
    <t>08.689.024/0002-92</t>
  </si>
  <si>
    <t>Ludmila</t>
  </si>
  <si>
    <t>Belo Horizonte</t>
  </si>
  <si>
    <t>PERENCO PETROLEO E GAS DO BRASIL LTDA</t>
  </si>
  <si>
    <t>09.309.027/0001-35</t>
  </si>
  <si>
    <t>Atalia</t>
  </si>
  <si>
    <t>Rio de Janeiro</t>
  </si>
  <si>
    <t>BONALIMENT ALIMENTACAO</t>
  </si>
  <si>
    <t>Alimentício</t>
  </si>
  <si>
    <t>54.761.176/0001-95</t>
  </si>
  <si>
    <t>Debora</t>
  </si>
  <si>
    <t>Igor e Pamela</t>
  </si>
  <si>
    <t>CSM-COMPONENTES SISTEMAS E MAQUINAS PARA CONSTRUCAO LTD</t>
  </si>
  <si>
    <t>76.840.537/0001-21</t>
  </si>
  <si>
    <t>Pamela e Luciana</t>
  </si>
  <si>
    <t>AGM DISTRIBUIDORA</t>
  </si>
  <si>
    <t>GLACAI</t>
  </si>
  <si>
    <t>30.062.482/0001-75</t>
  </si>
  <si>
    <t>Ana</t>
  </si>
  <si>
    <t>João Pessoa</t>
  </si>
  <si>
    <t>PB</t>
  </si>
  <si>
    <t>ANDREIS TRANSPORTES LTDA</t>
  </si>
  <si>
    <t>08.450.721/0001-05</t>
  </si>
  <si>
    <t>Ana Lucia</t>
  </si>
  <si>
    <t>Campo Verde</t>
  </si>
  <si>
    <t>SANTO ANTONIO GRANITOS LTDA</t>
  </si>
  <si>
    <t>27.188.739/0001-25</t>
  </si>
  <si>
    <t>João</t>
  </si>
  <si>
    <t>Cachoeiro de Itapemirim</t>
  </si>
  <si>
    <t>TERRAL PARTICIPACOES E EMPREENDIMENTOS LTDA</t>
  </si>
  <si>
    <t>PHV ENGENHARIA LTDA</t>
  </si>
  <si>
    <t>02.266.792/0001-76</t>
  </si>
  <si>
    <t>Nicole</t>
  </si>
  <si>
    <t>Cleber e João</t>
  </si>
  <si>
    <t>Data</t>
  </si>
  <si>
    <t>Tabulação</t>
  </si>
  <si>
    <t>Observação</t>
  </si>
  <si>
    <t>Jhonrob Silos E Secadores</t>
  </si>
  <si>
    <t>Finalizada</t>
  </si>
  <si>
    <t>(66) 3515-7005 - buscar financeiro contasapagar@jhonrob.com.br - geovana  08/07 - falei com a recepcionista e ela disse que a geovana resp pelo financ</t>
  </si>
  <si>
    <t>Implantus Materiais Cirúrgicos</t>
  </si>
  <si>
    <t>(91) 3222-8368 - Buscar sergio resp financeiro de preferencia a tarde  08/07 - uma pessoa do financeiro disse que ia transferir para o Sergio e deslig</t>
  </si>
  <si>
    <t>Motech Do Brasil Industria De Plasticos Ltda</t>
  </si>
  <si>
    <t>15) 3414-0350 Buscar barbara do rh ou guilherme juridico  08/07 - Guilherme mais uma vez não estava, buscar financeiro</t>
  </si>
  <si>
    <t>TODO TETO CASA &amp; CONSTRUCAO LTDA</t>
  </si>
  <si>
    <t xml:space="preserve">1635131800 - buscar Edivaldo resp financeiro   08/07 - Falei com Edvaldo e ele passou para a Thalita resp pela area tributaria, e ela foi bem grossa, </t>
  </si>
  <si>
    <t>INTERCOMM LOGÍSTICA S/A</t>
  </si>
  <si>
    <t>(27) 2121-5600 - caiu no setor comercial e recepcionista disse que ia passar o recado da reunião para Livia</t>
  </si>
  <si>
    <t>Retornar para barbara 08/07 - reunião alinhada com Barbara no dia 23/07 as 16h</t>
  </si>
  <si>
    <t>Ponto Norte Comercio Transporte  Logistica Ltda</t>
  </si>
  <si>
    <t>9140088600 buscar rh novamente 08/07 - recepcionista me passou para setor do rh porem ficou na ura ate cair sozinha a chamada</t>
  </si>
  <si>
    <t>Bomboleo Brasil</t>
  </si>
  <si>
    <t>62 3282-8520 buscar financeiro  10/06 - Sem sucesso 08/07 - recepcionista da area financeira falou que o rep bruno não estava na mesa dele e pediu par</t>
  </si>
  <si>
    <t>Vmg Bioenergia</t>
  </si>
  <si>
    <t>(64) 3632-1276 - coloquei o ramal do jonathan e ele disse que a empresa ta sem financeiro no momento e que questões tributarias não seriam com ele</t>
  </si>
  <si>
    <t>(64) 3632-1276 - buscar financeiro/ 109 - Jonatas almoxarifadop@vmgbioenergia.com.br  08/07 - Recepcionista falou que resp financeiro é o Jonathas por</t>
  </si>
  <si>
    <t>SANTA CASA DE MISERICORDIA DE SANTO AMARO</t>
  </si>
  <si>
    <t>1155258700 - buscar financeiro  07/07 - resp pelo contabilidade está de ferias e só retorna no inicio do prox mes</t>
  </si>
  <si>
    <t>PLANATC TECNOLOGIA</t>
  </si>
  <si>
    <t>(11) 2141-4891  - somente chamou, buscar financeiro ou rh.  11/06 -  apertei na opção recursos humanos e desligou, retorno 07/07 - fui na opção financ</t>
  </si>
  <si>
    <t>Construtora Vila Real</t>
  </si>
  <si>
    <t>27 3025-2300 contato sem exito, retorno  18/06 - sem sucesso 07/07 - recepcionista me passou para um Carlos que nem quis falar do que era resp na empr</t>
  </si>
  <si>
    <t>TRANSFLOR LTDA</t>
  </si>
  <si>
    <t>8440093173 buscar juridico, financeiro ou rh  11/06 - sem sucesso 07/07 - recepcionista falou que juridico não estava e veio querer me passar email da</t>
  </si>
  <si>
    <t>COOP - COOPERATIVA DE CONSUMO</t>
  </si>
  <si>
    <t>(11) 4991-9500 - buscar jurídico  07/07 - recepcionista me passou para área jurídica porem somente chamou</t>
  </si>
  <si>
    <t>VOSSKO DO BRASIL ALIMENTOS CONGELADOS LTDA.</t>
  </si>
  <si>
    <t>49 3221 2300 - buscar financeiro 07/07 - recepcionista passou ao financeiro porém chamou até cair</t>
  </si>
  <si>
    <t>USINA BOM JESUS</t>
  </si>
  <si>
    <t>(81) 2129-0505 - recepcionista passou ao jurídico porem a pessoa que atendeu de lá disse que ta sem resp juridico no momento e uma vez ou outra vem un</t>
  </si>
  <si>
    <t>FATOR SEGURADORA S.A.</t>
  </si>
  <si>
    <t>11 3709-3000 - (11)3709-3025 - Buscar Dr. Gustavo León  07/07 - Dr. Gustavo não esta hoje, retorno</t>
  </si>
  <si>
    <t>I H Industria E Comercio De Alimentos</t>
  </si>
  <si>
    <t>8532988181 buscar resp financeiro   07/07 - recepcionista falou que resp financeiro estava em reunião, não quis passar e-mail</t>
  </si>
  <si>
    <t>(73) 2101-9571 - buscar eleonora remarcar reunião  reunião marcada para o dia 22 as 16h</t>
  </si>
  <si>
    <t>(64) 3632-1276 - porteiro falou que juridico é externo e financeiro estava em almoço</t>
  </si>
  <si>
    <t>(73) 2101-9571 - recepcionista falou que é para retornar as 14h para eleonora pois ela saiu agora cedo</t>
  </si>
  <si>
    <t>TREM DO CORCOVADO LTDA.</t>
  </si>
  <si>
    <t>(21) 2558-1329 - Atendeu e caiu 25/06 - (21) 2558-1329 - Andreza atendeu e disse que Ana Paula não foi hoje  07/07 - recepcionista falou que financeir</t>
  </si>
  <si>
    <t>(91) 3222-8368 - Buscar sergio resp financeiro/ recepcionista falou que ele está em reunião para eu ligar mais tarde</t>
  </si>
  <si>
    <t>BRASIL VIDA TAXI AEREO</t>
  </si>
  <si>
    <t>62) 98136-0099 - correio de voz direto /  (62) 3933-9134 - Dr. Humberto não vai para a empresa, somente pelo celular mesmo</t>
  </si>
  <si>
    <t>PECOM ENERGIA DO BRASIL S.A.</t>
  </si>
  <si>
    <t>(71) 3028-9550 - retomar o contato para remarcar joao.oliveira@aeroempresarialba.com.br - Responsável Financeiro  07/07 - recepcionista falou que João</t>
  </si>
  <si>
    <t>Retomar o contato.  (71) 8480-0037 - falei com a conceição resp pelo financeiro e alinhamos a data de quinta feira as 16h</t>
  </si>
  <si>
    <t>VERTICAL PETROLEO LTDA</t>
  </si>
  <si>
    <t>Aldir Stofle, Gerente de DP. Lorena Gerente juridica (27) 3256-7803 - 27 99733-7579 (aldir) numero indisp  07/07 - 27) 3256-7803 Aldir está em reunião</t>
  </si>
  <si>
    <t>27) 3256-7803 - Fui no ramal de compras e lorena está em reunião</t>
  </si>
  <si>
    <t>Bijouterias Mabel Ltda</t>
  </si>
  <si>
    <t>11) 3315-0052 - Dra Ana Paula   06/07 - Dra. Ana paula está viajando e só retorna em agosto</t>
  </si>
  <si>
    <t>REAL BRASIL TURISMO</t>
  </si>
  <si>
    <t>2124019982  - retomar com a Simone do RH.  06/07 - Simone somente na quarta feira</t>
  </si>
  <si>
    <t xml:space="preserve">84) 3314-4499 - caixa postal direto  (84) 3318-5311 - recepcionista me passou esse numero quando perguntei pelo rh e ela disse que não tem uma pessoa </t>
  </si>
  <si>
    <t>SCOPUS CONSTRUTORA &amp; INCORPORADORA LTDA.</t>
  </si>
  <si>
    <t>1141951960  - Maria resp financeira pediu nossa apresentação pelo email pois disse que precisa verificar o serviço que prestamos antes de agendar a re</t>
  </si>
  <si>
    <t>(11) 3835-9850 - recepcionista falou que Maria (resp financeira) somente nesse numero - 1141951960</t>
  </si>
  <si>
    <t>BRANDILI TEXTIL LTDA</t>
  </si>
  <si>
    <t>(47) 3353-2401 - recepcionista disse que Marcio não tem ramal e que era somente pelo email</t>
  </si>
  <si>
    <t xml:space="preserve">48) 99930-5254 - Conversei com o resp jurídico giovani e ele disse que vai sair de férias agora e retorna somente na segunda semana de agosto, tentei </t>
  </si>
  <si>
    <t>FENIX COMERCIO DE ALIMENTOS LTDA</t>
  </si>
  <si>
    <t>(66) 3461-1122 - buscar marcos, umas 14h30  06/07 - recepcionista falou que marcos ainda não chegou, retorno</t>
  </si>
  <si>
    <t>TOP MOTOR'S</t>
  </si>
  <si>
    <t>(14) 3110-3700 Elisa resp RH estava muito corrida e ela disse que eles já estão adequados para essa parte da nr1 e que ja tem uma advocacia parra cuid</t>
  </si>
  <si>
    <t>EXCELENCIA CARNES SUINAS</t>
  </si>
  <si>
    <t xml:space="preserve">(65) 3308-5500 - buscar aldo juridico as 14h  06/07 - Aldo falou que eles fazem parte de uma holding então para marcar uma reunião precisa ter outras </t>
  </si>
  <si>
    <t>SUZIN PORTAS LTDA</t>
  </si>
  <si>
    <t>4934420721  - buscar Isadora financeiro  06/07 - recepcionista falou que isadora não se encontra hoje, e não sabe se ela vem amanhã</t>
  </si>
  <si>
    <t>HOSPITAL DAS CLINICAS  PRIMAVERA</t>
  </si>
  <si>
    <t>(66) 3498-1055 - buscar jurídico  conversei com Carla e ela me passou esse email como sendo do resp juridico e ela disse que o resp está de ferias adm</t>
  </si>
  <si>
    <t>(66) 3498-1055 - buscar juridico  06/07 - resp juridico está em almoço, retornar pós as 14h</t>
  </si>
  <si>
    <t>DISNORTE</t>
  </si>
  <si>
    <t>6635314921 - buscar jurídico 22/07 - 10h  06/07 - Conversei com Alan resp fiscal e marcamos reunião para o dia 22/07 as 10h de mato grosso</t>
  </si>
  <si>
    <t>(66) 3461-1122  - buscar financeiro  06/07 - recepcionista falou que marcos resp financeiro n consegue atender agr, pediu retorno mais tarde</t>
  </si>
  <si>
    <t>(65) 3308-5500 - buscar aldo juridico  06/07 - Aldo somente na parte da tarde, retorno.</t>
  </si>
  <si>
    <t>Pijamas Lua Cheia Ltda</t>
  </si>
  <si>
    <t>(35) 3445-2145 reaproximação com Yolanda  06/07 - Yolanda não se encontra, retorno</t>
  </si>
  <si>
    <t>ROMARCO CONSTRUTORA E INCORPORADORA LTDA</t>
  </si>
  <si>
    <t>(81) 3092-3700 - buscar resp financeiro  06/07 - Jacilene resp financeira bem direta disse que eles já possuem escritório e que não queria a reunião n</t>
  </si>
  <si>
    <t>Niagro Nichirei Brasil</t>
  </si>
  <si>
    <t xml:space="preserve">8721011433 Buscar thiago do rh ou financeiro  06/07 alisson@niagro.com.br - Conversei com Vania que disse ser resp pelo financeiro porem quando falei </t>
  </si>
  <si>
    <t>CENTRO DE REABILITACAO E HIDROTERAPIA SAINT RAPHAEL S/C LTDA</t>
  </si>
  <si>
    <t xml:space="preserve">(13) 99156-5993 tentar contato com Karly (reaproximação)  08/06 - sem sucesso, retorno 18/06 - caixa postal direto 25/06 - caixa postal 06/07 - Karly </t>
  </si>
  <si>
    <t>Vórtx</t>
  </si>
  <si>
    <t>(11) 98187-2974 - Dra. Juliana, sato - caixa postal direto (41) 99211-2137. - Dr. Claudio, correio de voz (11) 3030-7177 sem sucesso  27/05 - sem suce</t>
  </si>
  <si>
    <t>Citricultura Marata</t>
  </si>
  <si>
    <t>0800 880 7050 - buscar resp rh. cristiane e adriano são promotores de venda  06/07 - recepcionista falou que resp financeira não tem tel pois linhas e</t>
  </si>
  <si>
    <t>G LIGHT</t>
  </si>
  <si>
    <t>75) 2101-7272 buscar resp rh novamente  06/07 - recepcionista me passou para a contabilidade porem somente chamou até cair</t>
  </si>
  <si>
    <t>TECCOL ENGENHARIA LTDA</t>
  </si>
  <si>
    <t>(79) 3249-1090 - procurar resp financeiro  06/07 - recepcionista me transferiu ao financeiro porem somente chamou até voltar para ela, pedi o email po</t>
  </si>
  <si>
    <t>DELTA INDUSTRIA E COMERCIO DE GIZ LTDA</t>
  </si>
  <si>
    <t>853279-5000 Buscar rh  06/07 - priscilla@deltagiz.com.br  carol@deltagiz.com.br - Conversei com uma pessoa do ramal do financeiro e ele disse que ques</t>
  </si>
  <si>
    <t>Envases Brasil Nordeste</t>
  </si>
  <si>
    <t>8132016540 - buscar Moab resp financeiro  06/07 - Falei com Moab resp financeiro e ele disse que questões de contratações seriam somente na matriz poi</t>
  </si>
  <si>
    <t>(66) 3498-1055 - busquei jurídico porem a recepcionista falou que nesse horário na sexta não tem mais ninguém</t>
  </si>
  <si>
    <t>(66) 3461-1122 - recepcionista falou que o ramal do resp não estava atendendo, e pediu para entrar em contato segunda buscar financeiro novamente</t>
  </si>
  <si>
    <t>SEGVEL</t>
  </si>
  <si>
    <t>65-36537233 - recepcionista passou ao Lucas (socio pelo visto) porém ele não atendeu, verifiquei depois de ligar que a empresa é pequena, retornar mai</t>
  </si>
  <si>
    <t>SCHEFFER &amp; CIA LTDA</t>
  </si>
  <si>
    <t>(65) 3383-4800 - recepcionista disse que jurídico é somente pelo email juridico@sheffer.agr.br</t>
  </si>
  <si>
    <t>BOM JESUS AGROPECUARIA LTDA</t>
  </si>
  <si>
    <t>66 3411 5600 - falei com Andrei que disse ser do jurídico porem depois que falei o assunto ele disse que não era com ele e que ia passar o email do ju</t>
  </si>
  <si>
    <t>Laboratório LAPAT CUIABA</t>
  </si>
  <si>
    <t>(65) 3051-2800 - administrativo@lapatcuiaba.com.br - Deise   recepcionista disse que assuntos financeiros seria com a deise porem ela não estava e pas</t>
  </si>
  <si>
    <t>ABELHA TAXI AEREO E MANUTENCAO LTDA</t>
  </si>
  <si>
    <t xml:space="preserve">(65) 99972-9344 - conversei com o recepcionista e ele me passou o contato abaixo da daniela que é advogada e filha do dono, não atendeu, mandei whats </t>
  </si>
  <si>
    <t>TODIMO</t>
  </si>
  <si>
    <t>(65) 4004-6766 - numero site - seria de vendas, o recepcionista falou que nao tem nenhum contato nem email</t>
  </si>
  <si>
    <t>PETROLEO QUERENCIA LTDA</t>
  </si>
  <si>
    <t>(67) 3247-1291 - recepcionista falou que jurídico somente segunda feira, pedi email antonio@petrolioquertencia.com.br</t>
  </si>
  <si>
    <t>0800 242 8888  - tentar contato com ana para reagendar reunião  14h30 - reunião reagendada</t>
  </si>
  <si>
    <t>ALFA DISTRIBUIDORA DE PETROLEO LTDA</t>
  </si>
  <si>
    <t>65) 3052-3901 - contato@alfapetroleo.com.br  - Helena  03/07 - recepcionista me passou o contato acima e falou que seria da helena, não disse ao certo</t>
  </si>
  <si>
    <t>IMAGENS - MEDICINA DIAGNOSTICA S.A.</t>
  </si>
  <si>
    <t>6540098000 - recepcionista foi me passar ao setor jurídico porem viu que eles não possuíam ramal e pegou meu numero para passar a eles</t>
  </si>
  <si>
    <t>0800 242 8888 - Ana não está na sala no momento, retornar na parte da tarde</t>
  </si>
  <si>
    <t>REI ALIMENTOS INDUSTRIA E COMERCIO LTDA</t>
  </si>
  <si>
    <t>administracao@reialimentos.com - Conversei com a josimeire do financeiro da empresa, ela disse que já estão bem atendidos e que não tem pretensão de m</t>
  </si>
  <si>
    <t>SOLLO CONSTRUCOES LTDA</t>
  </si>
  <si>
    <t>jessika.maciel@gsollo.com.br (65) 30546900 - falei com a recepcionista e ela disse que a resp juridica estava em reunião mais solicitou que enviasse u</t>
  </si>
  <si>
    <t>HOSPITAL SAO JUDAS TADEU LTDA</t>
  </si>
  <si>
    <t>(65) 2128-5400 - recepcionista me passou o numero do resp juridico adriano / 6599894562 - adriano</t>
  </si>
  <si>
    <t>Mademarques Moveis Ltda</t>
  </si>
  <si>
    <t>(32) 3539-2300 Perguntar pelo  Rogerio (resp financeiro) reaproximação  03/07 - feriado na cidade, retornam somente segunda</t>
  </si>
  <si>
    <t>Vulcano Export</t>
  </si>
  <si>
    <t>88) 3614-2260 buscar financeiro  03/07 - a ligação estava extremamente ruim, pedi whats para a recepcionista e ela disse que era o mesmo</t>
  </si>
  <si>
    <t>MAURICIO DE SOUSA PRODUCOES S.A</t>
  </si>
  <si>
    <t>(11) 3613-5000 - buscar juridico  02/07 - fora do horário de expediente 03/07 - recepcionista falou que juridico não tem ramal e passou esse email sue</t>
  </si>
  <si>
    <t>Minelli Maquinas</t>
  </si>
  <si>
    <t>(47) 3521-6743 tentar contato com rh  03/07 - recepcionista falou que resp pelo RH Andreia não se encontra pois estava em viagem e passou o email abai</t>
  </si>
  <si>
    <t>Agrofava Sementes</t>
  </si>
  <si>
    <t>64) 3411-2500 - tentar ctt com Valeria gerente financeira  03/07 - Recepcionista falou que para falar com a Valeria somente com horario marcado e pedi</t>
  </si>
  <si>
    <t>(35) 3445-2145 reaproximação com Yolanda  02/07 - não está, recepcionista pediu para eu ligar em 10min</t>
  </si>
  <si>
    <t>CIARAMA MAQUINAS LTDA</t>
  </si>
  <si>
    <t xml:space="preserve">6730320889  - Buscar Mariana fiscal  02/07 - recepcionista do financeiro falou que a Mariana é de dourados e pegou meu contato para passar a ela, vou </t>
  </si>
  <si>
    <t>(65) 3308-5500 - buscar aldo juridico  02/07 - Aldo estará na empresa somente segunda feira</t>
  </si>
  <si>
    <t>YDF PVF ( MONTTEC EQUIPAMENTOS)</t>
  </si>
  <si>
    <t xml:space="preserve">15) 3353-7200 Mariana, retorno para novo fup  02/07 - Mariana falou que diretor está viajando e volta no meio da semana que vem e que ai sim consegue </t>
  </si>
  <si>
    <t>Socel Sociedade Oeste</t>
  </si>
  <si>
    <t>84 3422.3000 - buscar resp financeiro -   02/07 - falei com Alderi resp pela contabilidade, ele parecia ser bem simplesinho, ficava falando em cima do</t>
  </si>
  <si>
    <t>LELLO PRINT</t>
  </si>
  <si>
    <t>(11) 38589725 tentar novo contato com Andrea  02/07 - Andrea mais uma vez em reunião</t>
  </si>
  <si>
    <t>NORONHA - INDUSTRIA E COMERCIO DE PESCADOS LTDA</t>
  </si>
  <si>
    <t>(81) 2138-9100 - buscar andrea financeiro as 14h30  02/07 - Andrea já foi embora, retorno</t>
  </si>
  <si>
    <t>FERMAT INDUSTRIA E COMERCIO DE PERFIS LTDA</t>
  </si>
  <si>
    <t>6536656107 - buscar willian resp financeiro  02/06 - Willian não está</t>
  </si>
  <si>
    <t>(66) 3515-7005 - gabrielaandrade.adv@outlook.com recepcionista falou que a jurídica não tinha horário fixo e falou que era externo</t>
  </si>
  <si>
    <t>DATA MED LTDA</t>
  </si>
  <si>
    <t>klecia.lopes@doyon.com.br - (65) 3311-2000 recepcionista falou que klessia estava almoçando, pediu para eu enviar email</t>
  </si>
  <si>
    <t>(81) 3092-3700 - Jurídico ainda não se encontra, recepcionista quis me passar email geral, buscar financeiro</t>
  </si>
  <si>
    <t>ALPHA CANDIES DISTRIBUIDORA LTDA</t>
  </si>
  <si>
    <t>1532381632 numero jurídico, s sucesso  (15) 32381618 procurar RH - s sucesso  09/06 - sem sucesso 11/06 - juridico s sucesso 02/07 - (15) 32381618 fal</t>
  </si>
  <si>
    <t>EMPRESA DE TRANSPORTES FLORES LTDA</t>
  </si>
  <si>
    <t>(21) 2755-9200 - buscar Simone (financeiro)  02/07 - Simone não estava, retorno</t>
  </si>
  <si>
    <t>BAALBEK EMPREENDIMENTOS IMOBILIARIOS LTDA</t>
  </si>
  <si>
    <t>02/07 - (11) 3020-1055 - Falei com a supervisora da área de atendimento e ela pegou meu numero e disse que ia passar ao resp pelo financeiro área trib</t>
  </si>
  <si>
    <t>UTC ENGENHARIA SA</t>
  </si>
  <si>
    <t>11) 3124-1200 ficou somente tocando música até cair Tentar contato com RH  05/06 - sem sucesso 02/07 - recepcionista falou que não consegue transferir</t>
  </si>
  <si>
    <t>Braz Industria</t>
  </si>
  <si>
    <t>(85) 3260-4800 - buscar resp financeiro  02/07 - busquei pelo juridico e recepcionista passou email direto janiagomes@saobrazbebidas.com.br</t>
  </si>
  <si>
    <t>ICONE INSTITUTO DE CIRURGIA OCULAR DO NORDESTE LTDA</t>
  </si>
  <si>
    <t xml:space="preserve">(81) 2138-0080 - Buscar Tatiana resp financeira  tatianavalverde@iconedavisao.com.br - Conversei com a Tatiana que é resp pelo financeiro e ela fugiu </t>
  </si>
  <si>
    <t>Jc Grossi &amp; Filhos Agricola Ltda</t>
  </si>
  <si>
    <t xml:space="preserve">3435153838  - tentar contato com rh  02/07 - conversei com Neider resp pelo juridico e ele disse que para fazer reunião precisaria do superintendente </t>
  </si>
  <si>
    <t>COMPANHIA SIDERURGICA NACIONAL (CSN)</t>
  </si>
  <si>
    <t>1130497100 ficou somente na ura, buscar rh   02/07 - recepcionista extremamente grossa disse que para falar com qualquer area para oferecer algo é som</t>
  </si>
  <si>
    <t>(81) 2138-9100 - buscar andrea financeiro  02/07 - recepcionista falou que andrea estava com ramal ocupado, retorno a tarde</t>
  </si>
  <si>
    <t>TRANSPORTADORA CAPELA LIMITADA</t>
  </si>
  <si>
    <t>Cliente não apareceu, retorno para marcar...  02/07 - bete não estava na sala, retorno</t>
  </si>
  <si>
    <t>Fundicao Imic Ltda.</t>
  </si>
  <si>
    <t>compras@imic.com.br  - email enviado  procurar financeiro  17/06 - fui direto no ramal do financeiro porem sem sucesso, roque não faz mais parte da em</t>
  </si>
  <si>
    <t>MJ - INDUSTRIA DE NUTRICAO ANIMAL LTDA</t>
  </si>
  <si>
    <t>(66) 3425-2455 - uma mulher tentou se passar pelo jurídico, desconfio de que era a própria recepcionista, bem grossa nem quis passar o nome e ja foi f</t>
  </si>
  <si>
    <t>VITORIA REGIA AGUA MINERAL LTDA</t>
  </si>
  <si>
    <t>(65) 36125555  - recepcionista falou que juridico não estava no momento</t>
  </si>
  <si>
    <t>COPACEL INDUSTRIA E COMERCIO DE CALCARIO E CEREAIS LTDA</t>
  </si>
  <si>
    <t xml:space="preserve">(65) 3376-1516 - recepcionista Ester pediu para eu aguardar enquanto passava ao jurídico porem ficou muda por mais de 3min e eu escutava ela respirar </t>
  </si>
  <si>
    <t>JD ROYALE INDUSTRIA E COMERCIO LTDA</t>
  </si>
  <si>
    <t>Alexandre (resp adm e financeiro) atendeu direto, quando fui falar a ligação caiu ou ele desligou e não consegui retorno. ligar novamente</t>
  </si>
  <si>
    <t>MOSSORO INDUSTRIA E COMERCIO DE PREMOLDADOS LTDA.</t>
  </si>
  <si>
    <t>84) 33213344 - Tentar contato com Jacob para falar da area do tax (de preferencia a tarde)  01/07 - Jacob não está</t>
  </si>
  <si>
    <t>ATLAS COPCO BRASIL LTDA</t>
  </si>
  <si>
    <t>(11) 34788700  Buscar juridico  25/06 - saiu da ura, chamou um pouco e depois ficou falando ingles, retorno  01/07 - falei com a giovana que disse ser</t>
  </si>
  <si>
    <t>P  W Igarape Transportes Ltda</t>
  </si>
  <si>
    <t>31) 3534-2264 Lucelia não entrou na reunião, remarcar  22/06 - sem sucesso 01/07 - Lucelia vai sair de férias e só retorna em agosto</t>
  </si>
  <si>
    <t>ALUMBRA EMPREENDIMENTOS IMOBILIARIOS LTDA</t>
  </si>
  <si>
    <t>4721227079 - buscar rh ou financeiro  01/07 - recepcionista me passou o numero da jessica resp pelo financeiro, liguei porem sem sucesso</t>
  </si>
  <si>
    <t>Minusa Tratorpeças</t>
  </si>
  <si>
    <t>(49) 3226-1000 tentar remarcar reunião com Luciana do rh  01/07 - reunião remarcada 13/07 as 16h</t>
  </si>
  <si>
    <t>A.M.C. TEXTIL LTDA.</t>
  </si>
  <si>
    <t>(47) 3372-8500 - Procurar RH ou financeiro.  03/06 - atenderam e desligaram 17/06 - atenderam e desligaram 01/07 - jefferson (reaproximação)  não se e</t>
  </si>
  <si>
    <t>TERRAL INCORPORADORA</t>
  </si>
  <si>
    <t>(62) 99266-5588 - evaldo juridico reaproximação (62) 3242-6533 buscar cintia resp RH  01/07 - Evaldo a recepcionista não tem o ramal, pedi pelo financ</t>
  </si>
  <si>
    <t>SANTA CRUZ ACUCAR E ALCOOL LTDA</t>
  </si>
  <si>
    <t>7332818999 Buscar financeiro  2121327999 falei com uma pessoa que falou que era resp pela área financeira mais que não sabia sobre assuntos tributário</t>
  </si>
  <si>
    <t>NOVA FUTURA CTVM LTDA</t>
  </si>
  <si>
    <t>(11) 3291-8050 - buscar rh e falar que já tenho tratativas  01/07 - (11) 32918039 - falei com uma mulher da área de compliance, não lembro o nome dela</t>
  </si>
  <si>
    <t>DIMEP SISTEMAS LTDA / PAMDIR PARTICIPACOES LTDA</t>
  </si>
  <si>
    <t>RETOMAR</t>
  </si>
  <si>
    <t>11 - 3646-4116 - conversei com a Sra. Mayra e ela me avisou que o Dr. Felipe não se encontra na empresa.... anotou o meu recado e vai retomar depois.</t>
  </si>
  <si>
    <t>SQ QUIMICA IMPORTADORA DISTRIBUIDORA</t>
  </si>
  <si>
    <t>Dra. Marianna está em viagem de negócios e não está em são paulo essa semana... retomar segunda-feira.</t>
  </si>
  <si>
    <t>NOVA ERA COMERCIO E SERVICOS ESPECIALIZADOS LTDA</t>
  </si>
  <si>
    <t xml:space="preserve">Rogerio me atendeu e muito grosso, informou que não conseguiu analisar a proposta encaminhada e falou para não ligar mais... e que assim que analisar </t>
  </si>
  <si>
    <t>Sra. Tatiana me informou que não consseguiu analisar as propostas.... falou que está bem aturbulada.    (13) 3211-7760</t>
  </si>
  <si>
    <t>QUALITYAIR ENGENHARIA</t>
  </si>
  <si>
    <t>(11) 5589-9307 - Sr Mario não estava novamente, Leonardo pegou nosso contato para ele me retornar Sr Mario me retornou, como sempre muito nervoso, vol</t>
  </si>
  <si>
    <t>SABOR COMERCIO  INDUSTRIA DE PRODUTOS ALIMENTICIOS LTD</t>
  </si>
  <si>
    <t>RETOMAR PARA VERIFICAR SE ELE VOLTOU DAS FERIAS</t>
  </si>
  <si>
    <t>METROFILE BRASIL GESTAO DA INFORMACAO LTDA.</t>
  </si>
  <si>
    <t>Sr. Lucilene - Gerente de RH está de férias... retomar contato depois.  11) 3652-0066</t>
  </si>
  <si>
    <t>Falei com a recepcionista que me disse que passaria o recado para a responsavel Lucilene que estava em reunião.</t>
  </si>
  <si>
    <t>COOPERATIVA AGROPECUARIA DE TUBARAO</t>
  </si>
  <si>
    <t>4833010079 - ramal 2 financeiro - aguarde para ser atendido  Jardel foi super grosso hj, disse que tem outras prioridades e não vai remarcar, pergunte</t>
  </si>
  <si>
    <t>INDUSTRIAS REUNIDAS RAYMUNDO DA FONTE SA</t>
  </si>
  <si>
    <t>Atendente me informou que o Dr. Aluisio não se encontra... retomar depois.  (81) 3437-8200 - 81 99198-2964  Aluisio Neves Baptista Filho gerente jurid</t>
  </si>
  <si>
    <t>Plumatex Agropastoril</t>
  </si>
  <si>
    <t>Contato por telefone sem sucesso... empresa boa, ficar no pé   (62) 4014-1600 Ramal 6 Juridico.  Gerente Administrativa  - Natália Freitas</t>
  </si>
  <si>
    <t>(84) 3314-4499 - só chama daquele jeito que não ta chamando   (84) 3318-5311 - Claudia me atendeu direto e disse que é a responsável financeira, passe</t>
  </si>
  <si>
    <t>EUDMARCO S.A. SERVICOS E COMERCIO INTERNACIONAL</t>
  </si>
  <si>
    <t>Falei com a responsável do RH Daiana e declinaram... retomar</t>
  </si>
  <si>
    <t>COMDIP  DISTRIBUIDORA</t>
  </si>
  <si>
    <t>Falei com o Renato júnior que me informou que estaria corrido e que não estava  interessado em nada no momento e mandou retornarmos lá pro meio do ano</t>
  </si>
  <si>
    <t>Falei com o Dr. Renato e ele me informou que já possuí assessoria em todas as áreas...  Dr. Renato Junior - Gerente Juridico  (21) 2121-0020</t>
  </si>
  <si>
    <t>SEQUOIA ALIMENTOS LTDA</t>
  </si>
  <si>
    <t>Conversei com o Carlos Gomes do Juridico e o mesmo vai entrar de férias... retomar em agosto.</t>
  </si>
  <si>
    <t>TELEBANK SERVICOS DE INSTALACAO DE PROGRAMAS DE COMPUTADOR LTDA</t>
  </si>
  <si>
    <t>Conversei com a Sra. Sandra e a mesma está de férias, retomar na semana do dia 20...  11) 99900-7571  -</t>
  </si>
  <si>
    <t>RENA METALURGICA LTDA</t>
  </si>
  <si>
    <t>A Raquel me atendeu e informou que não é com ela... retomar José Diretor.    1122361348</t>
  </si>
  <si>
    <t>HIDRAUVIT-EQUIPAMENTOS INDUSTRIAIS LTDA</t>
  </si>
  <si>
    <t>Larissa declinou.</t>
  </si>
  <si>
    <t>MINERACAO MORRO DO IPE S.A.</t>
  </si>
  <si>
    <t>31) 97118-9922 retomar contato que precisamos marcar uma nova reunião  18/05 - sem exito retomar 20/05- SEM EXITO NOVAMENTE 01/06 - NÃO CONSEGUI ENTRA</t>
  </si>
  <si>
    <t>CIPALAM INDUSTRIA E COMERCIO DE LAMINADOS LTDA</t>
  </si>
  <si>
    <t>03138296332 -  chamou atendeu e ficou mudo  03138296369- ramal invalido  27/05 chamou e caiu</t>
  </si>
  <si>
    <t>Conversei com o Atendente e o contato com a Tatiane é muito dificil... retomar contato depois.</t>
  </si>
  <si>
    <t>ALSCO TOALHEIRO BRASIL LTDA</t>
  </si>
  <si>
    <t>Liguei par aa empresa... e a mesma me informou que o Dr. Felipe não se encontra... retomar segunda-feira.   Dr. Felipe - Juridico</t>
  </si>
  <si>
    <t>Conversei com o senhor Felipe que me disse que estavamos acordados de retomar com ele para segunda semanada de junho.  Que estaria tranquilo, tentei m</t>
  </si>
  <si>
    <t>TMSA  TECNOLOGIA EM MOVIMENTACAO S A</t>
  </si>
  <si>
    <t>23/06 Ligação liguei para falar com a Bruna mas só chama. Retornar</t>
  </si>
  <si>
    <t>BALAROTI COMERCIO DE MATERIAIS DE CONSTRUCAO LTDA</t>
  </si>
  <si>
    <t>Diversas tentativas de contato na parte da manha e no período da tarde mas telefone 41 3058-8607 fora do ar, retomar amanha</t>
  </si>
  <si>
    <t>Clenilson estava em reunião e pediu para retornar após almoço</t>
  </si>
  <si>
    <t>Em contato com Clenilson pediu para falarmos sobre o tema de diagnostico na ultima semana do mês de Junho retornar no dia 29/06</t>
  </si>
  <si>
    <t>DO MESTRE , FORT SOLUTIONS &amp; BRAVIA</t>
  </si>
  <si>
    <t xml:space="preserve">Atendente me informou que a Dra. Jéssica está de home office pq ela vai entrar de licença maternidade... atendente anotou o meu numero e irá retornar </t>
  </si>
  <si>
    <t>RONDI &amp; CIA. LTDA.</t>
  </si>
  <si>
    <t>Conversei com a Tiara e a mesma apresentou para a Diretoria e que no momento infelizmente não vão seguir com as propostas... pois no momento informara</t>
  </si>
  <si>
    <t>EBA - Empresa Brasileira de Armazenamento LTDA</t>
  </si>
  <si>
    <t>FUP - 11 99556-8626 - 11 4357-3573  Rubens me informou que recebeu a proposta e apresentou para a área... falou para retomar semana que vem para verif</t>
  </si>
  <si>
    <t>19 99606-5825 - Mariana, RH.</t>
  </si>
  <si>
    <t>(19) 3244-3487 - Marianna não se encontra na empresa....</t>
  </si>
  <si>
    <t>Vieira Fernandes Empreendimentos</t>
  </si>
  <si>
    <t>Ligação  Reunião confirmada</t>
  </si>
  <si>
    <t>Ligação  Reunião Confirmada</t>
  </si>
  <si>
    <t>BN - PAPEL CATARINENSE LTDA</t>
  </si>
  <si>
    <t>Ligação  (47) 3385-2000- Retomar o contato com a empresa caso ela não responda</t>
  </si>
  <si>
    <t>CG TELHAS</t>
  </si>
  <si>
    <t>Ligação  (67) 3047-6150- retomar o contato com a empresa caso ninguém responda  07/07  (67) 3047-6150- falei com a senhora Lucimara reunião agendada p</t>
  </si>
  <si>
    <t>TRANSILVA TRANSPORTES /GRUPO VENO</t>
  </si>
  <si>
    <t>Ligação  (27) 3232-2300- Retomar o contato com ela semana que vem  30/06- (27) 3232-2300- contato sem exito, só chama   07/07-  (27) 3232-2300- Recepe</t>
  </si>
  <si>
    <t>HP Trade Comércio Internacional</t>
  </si>
  <si>
    <t>Ligação  11) 3933-2600- Retomar o contato com a empresa caso ele não entre em contato 07/07- (11) 3933-2600-Falei com o recepcionista e ele me transfe</t>
  </si>
  <si>
    <t>FEDERACAO DAS EMPRESAS DE TRANSPORTES DE CARGA</t>
  </si>
  <si>
    <t>Ligação (48) 3248-1104- retomar o contato com a empresa novamente caso ela não responda</t>
  </si>
  <si>
    <t>RODOCARGAS NORDESTE LTDA</t>
  </si>
  <si>
    <t>Ligação 16:00 (86) 3218-1036 - falei com o Fabricio ele pediu para retomar o contato com ele amanhã as 16:00  06/07-pediu para retomar o contato com a</t>
  </si>
  <si>
    <t>Ligação  07/07- (86) 3218-1036 - Disse que o fabricio estar fazendo pagamento e pede contato amanhã</t>
  </si>
  <si>
    <t>AMAZON TRANSPORTES LTDA</t>
  </si>
  <si>
    <t>Ligação (11) 2795-2200- retomar o contato com a empresa  caso ela não responda o e-mail  07/07- (11) 2795-2200- Disse que a Jessica do Rh estar de fér</t>
  </si>
  <si>
    <t>IPEL - INDAIAL PAPEL EMBALAGENS</t>
  </si>
  <si>
    <t>Ligação  Mandar proposta de trabalho consultivo por time sheet na área tributária.</t>
  </si>
  <si>
    <t xml:space="preserve">Ligação   (65) 36424441- falei com a gerente da loja ela disse que a Flavia não estar e pede contato daqui 20 minutos  07/07- (65) 36424441 - Reunião </t>
  </si>
  <si>
    <t>LDO TRANSPORTE TURISTICO LTDA</t>
  </si>
  <si>
    <t xml:space="preserve">Ligação  (47) 3333-0872- retomar o contato com a empresa amanhã as 09:00  07/07- (47) 3333-0872-  falei com a recepcionista ela tentou me trana ferir </t>
  </si>
  <si>
    <t>ABIMAQ</t>
  </si>
  <si>
    <t>Ligação   (11) 5582-6405- numero não existe ou estar fora de serviço   07/07- (11) 5582-6381 - falou que eles estão trabalhando de home office e que n</t>
  </si>
  <si>
    <t>KAYBEE EXIM DO BRASIL</t>
  </si>
  <si>
    <t>Ligação  (11) 2776-9829- retomar o contato com a empresa amanhã depois as 09:00  07/07-(11) 2776-9829-  Falei com a Bruna e ela disse que não tem inte</t>
  </si>
  <si>
    <t>TARGET INSTITUICAO DE PAGAMENTO E SECURITIZADORA DE CREDITOS S.A / TARGET BANK</t>
  </si>
  <si>
    <t>Ligação  07/07- (21) 3030-9100 -  Falei com a Roberta ela disse que o senhor Gustavo não tem ramal e pediu meu numero e meu e-mail e falou que vai ped</t>
  </si>
  <si>
    <t>ASSOBRAV GRUPO DISAL</t>
  </si>
  <si>
    <t>Ligação  reunião cancelada cliente informou que vai viajar e pediu reagendamento</t>
  </si>
  <si>
    <t>Ligação  06/07- (11) 2776-9829- disse que a Bruna já foi embora e pede contato amanhã</t>
  </si>
  <si>
    <t>DELMAC DO BRASIL LTDA</t>
  </si>
  <si>
    <t>Ligação (11) 2413-5065 disse que mesmo que mande e-mail ou entre em contato e fale com a Iracema não vai querer nada, por que a empresa já tem um seto</t>
  </si>
  <si>
    <t>Ligação  499926-7413- retomar o contato com a empresa futuramente.</t>
  </si>
  <si>
    <t>Arnaldo responsável financeiro  (11) 2858-4747</t>
  </si>
  <si>
    <t>Ligação  06/07- (11) 2858-4747 - Falei com o recepcionista ele me transferiu mas só chamou e ele me passou o ramal direto dele  11 5582-2007 - falei c</t>
  </si>
  <si>
    <t>Flavia responsável pelo Administrativo da ALEGRAF INDUSTRIA GRAFICA LTDA -  (65) 36424441</t>
  </si>
  <si>
    <t>R. J. DE SOUZA BORBA</t>
  </si>
  <si>
    <t>Ligação (82) 3371-0082 - retomar o contato com a empresa e procurar o Rh  06/07- (82) 3371-0082- disse que a responsável pelo Rh não se encontrar e pe</t>
  </si>
  <si>
    <t>CRISTALFLEX INDUSTRIA DE ESPUMAS E COLCHOES LTDA</t>
  </si>
  <si>
    <t>Ligação 49 9 9985-1666- Retomar o contato com a empresa caso ela não responda</t>
  </si>
  <si>
    <t>Ligação (49) 3321-0677 - Caso ele não responda retomar o contato com a empresa segunda - feira 22/06-  (49) 3321-0677 - contato sem exito, só chama  0</t>
  </si>
  <si>
    <t>Ligação  (47) 3333-0872- retomar o contato com a empresa  06/07- (47) 3333-0872- disse que o Anderson esta no hospital e pede contato amanhã</t>
  </si>
  <si>
    <t>Ligação 31 99231-7487- retomar o contato com a empresa   06/07 - 31) 21043392- contato sem exito, só chama 31 99231-7487- Falei com o Claudio ele diss</t>
  </si>
  <si>
    <t>Sidercentro Ferro E Aco Ltda</t>
  </si>
  <si>
    <t xml:space="preserve">Ligação (37) 2101-1423- Retomar o contato com a empresa novamente procurando outra área  Rúbia Rodrigues Analista de Recursos  16/06-  (37) 2101-1423 </t>
  </si>
  <si>
    <t>MADIE BIOMEDICINA INTEGRADA LTDA</t>
  </si>
  <si>
    <t>Ligação  (11) 98151-1535 - retomar o contato novamente mais para frente</t>
  </si>
  <si>
    <t>CERUMAQ INDUSTRIA DE MAQUINAS LTDA</t>
  </si>
  <si>
    <t>Ligação 47) 3522-2971- Retomar o contato com a empresa sexta-feira caso ela não responda   06/07- 47) 3522-2971- Recepcionista disse que a Juliane est</t>
  </si>
  <si>
    <t>TRANSPORTADORA NORTE FLUMINENSE DE MACAE LTDA</t>
  </si>
  <si>
    <t>Ligação  06/07- (22) 2020-5950 - falei com a Fabiana ela disse que o setor jurídico eles não quer mexer com nada já a parte tributaria / referente a r</t>
  </si>
  <si>
    <t>MANIKE INDUSTRIA TEXTIL LTDA</t>
  </si>
  <si>
    <t xml:space="preserve">Ligação  (47) 3371-1814- retomar o contato com a empresa caso ela não responda  06/07- (47) 3371-1814 - recepcionista disse que a senhora Daniela não </t>
  </si>
  <si>
    <t>AVIGRO AVICOLA AGROINDUSTRIAL LTDA</t>
  </si>
  <si>
    <t>Ligação  06/07- (75) 3244-3500- falei com a recepcionista ela disse que o Agnano ele não estar na empresa mais que no momento não tem ninguém no lugar</t>
  </si>
  <si>
    <t>Ligação  48 99172-7453- retomar o contato com a empresa mais no final do dia</t>
  </si>
  <si>
    <t>USICAMP IMPLEMENTOS PARA TRANSPORTES LTDA</t>
  </si>
  <si>
    <t>Ligação  (44) 3264-8500-Retomar o contato com a empresa caso ele não responder</t>
  </si>
  <si>
    <t>ACOS FORMOSA COMERCIAL E INDUSTRIAL LTDA</t>
  </si>
  <si>
    <t xml:space="preserve">Ligação  Falei com o senhor rodrigo ele disse que  como estar cheio das demandas não conseguiu analisar perfeitamente mas que ate essa semana ele vai </t>
  </si>
  <si>
    <t>GIASSI CONSTRUTORA E INCORPORADORA LTDA</t>
  </si>
  <si>
    <t>Ligação 48) 3468-7000- Retomar o contato com a empresa no dia 03/07 - para verificar se foi possível analisar e se podemos prosseguir.</t>
  </si>
  <si>
    <t>Ligação  (48) 3468-7000- falei com os senhor  Eduardo ele disse que conversaram com o setor contábil deles e que decidiram não prosseguir com a propos</t>
  </si>
  <si>
    <t>Ligação 48 99172-7453- retomar o contato para agendarmos essa reunião.</t>
  </si>
  <si>
    <t>FRANCEFARMA INDUSTRIA</t>
  </si>
  <si>
    <t>Ligação  6232490804- retomar o contato semana que vem caso ele não entre em contato   06/07- 6232490804 - Disse que o jurídico e o financeiro e tercei</t>
  </si>
  <si>
    <t>JJMN CONFECCOES LTDA</t>
  </si>
  <si>
    <t>Ligação (11) 3333-2000 - Retoma o contato com a empresa procurando outros setores   06/07- (11) 3333-2000 - Falei com a Cida ela disse que par agendar</t>
  </si>
  <si>
    <t>Ligação (44) 3264-8500- retomar o contato na primeira semana de julho</t>
  </si>
  <si>
    <t>CAL-COMP IND E COM ELETR E INFORM LTDA</t>
  </si>
  <si>
    <t>Ligação  92 2125-9940- retomar o contato com a empresa na segunda semana de julho para verificar se podemos prosseguir</t>
  </si>
  <si>
    <t>VINHOS RANDON LTDA</t>
  </si>
  <si>
    <t>Ligação  4935622100 - retomar o contato no dia 03/07 para verificar se podemos prosseguir com a proposta.</t>
  </si>
  <si>
    <t xml:space="preserve">Ligação  (49) 3562-2100- falei com o roberto ele disse que não ira prosseguir com a proposta que preferiram fazer internamente com a contato seguro e </t>
  </si>
  <si>
    <t>ALCOOL SANTA CRUZ LTDA</t>
  </si>
  <si>
    <t>Ligação 11) 99981-0332- retomar o contato com a empresa no dia 03/07</t>
  </si>
  <si>
    <t>AMIGOO PET SERVICOS DE ASSISTENCIA</t>
  </si>
  <si>
    <t>Ligação retomar o contato com a empresa amanhã</t>
  </si>
  <si>
    <t>COOPER STANDARD AUTOMOTIVE</t>
  </si>
  <si>
    <t>Ligação retomar o contato com a empresa na primeira semana de julho</t>
  </si>
  <si>
    <t>Ligação  86) 3218-1036- retomar o contato hoje as 17:00</t>
  </si>
  <si>
    <t>MOKSHA8 BRASIL INDUSTRIA E COMERCIO DE MEDICAMENTOS LTDA</t>
  </si>
  <si>
    <t>Ligação  02/07- 1140021600 - só na chamada eletrônica  1130419300 - Contato sem exito, só chama   Saulo Xavier Legal Director - Latam  Raphael Marinho</t>
  </si>
  <si>
    <t>VIA VAREJO / GRUPO CASAS BAHIA</t>
  </si>
  <si>
    <t xml:space="preserve">Ligação 02/07- (11) 3777-2830-  Disse que esse numero e de vendas da casas Bahia que não tem o contato direto mandei conexões com alguns responsáveis </t>
  </si>
  <si>
    <t>Transportes Coletivos De Anapolis Ltda Falido</t>
  </si>
  <si>
    <t xml:space="preserve">Ligação  02/07- 6233100200- contato sem exito, só chama  6233100215 -contato sem exito, só chama  6231577900 - Disse que essa empresa Transportes não </t>
  </si>
  <si>
    <t>Edjunior Engenharia Ltda</t>
  </si>
  <si>
    <t>Ligação 02/07- 6232751000 -  Disse que já ligaram lá uma vez e que ele já falou que não tem interesse.</t>
  </si>
  <si>
    <t>Ligação  11 97468-9700- Retomar o contato com a empresa na sexta-feira</t>
  </si>
  <si>
    <t>NATURAFRIG ALIMENTOS</t>
  </si>
  <si>
    <t>Ligação (67) 3289-1800- ligar para ele caso ele não responda pelo e-mail   02/07- (67) 3289-1800- Disse que o Denis, Não se encontrar retomar o contat</t>
  </si>
  <si>
    <t>HOSPITAL NOSSA SENHORA DE LOURDES</t>
  </si>
  <si>
    <t>Ligação  (31) 3589-1332- Retomar o contato com a empresa amanhã 02/07 31-3589-1302 - Disse que a senhora Mayara estar em reunião e pede contato em out</t>
  </si>
  <si>
    <t>Ligação (11) 4176-7877- Retomar o contato com a empresa amanhã a partir das 09:00  02/07- (11) 4176-7877- Ele disse que estar em reunião agora de manh</t>
  </si>
  <si>
    <t>CONSTRUTORA CELI LTDA</t>
  </si>
  <si>
    <t>Ligação (79) 3216-5000 - retomar o contato quinta para verificar se consigo o contato  19/06- (79) 3216-5000 - Recepcionista disse que ela não estar n</t>
  </si>
  <si>
    <t xml:space="preserve">Ligação 86) 3218-1036- retomar o contato semana que vem para procurar por ele 02/07- 86) 3218-1036- recepcionista me transferiu para o senhor Valdick </t>
  </si>
  <si>
    <t>Ligação 47) 32769000- retomar o contato caso ela não responda  01/07- 47) 32769000- disse que a senhora Renata não estar na sala dela e pede contato a</t>
  </si>
  <si>
    <t>WEB NORDESTE LTDA</t>
  </si>
  <si>
    <t>Ligação (71) 3311-4455- retomar o contato com a empresa novamente procurando o Adailton  02/07 -(71) 3311-4455 - Disse que hoje e feriado lá na Bahia</t>
  </si>
  <si>
    <t>Ligação FCC aconteceu deixa empresa em standy bay para verificar futuramente se a empresa tem algumas outras demandadas.</t>
  </si>
  <si>
    <t>CLEANMAX AMBIENTAL LTDA</t>
  </si>
  <si>
    <t>Ligação (11) 3872-2288- disse que nesse numero não tem ninguém do RH, e passou o numero abaixo.  11 3868-2828- Falei com alguém que faz parte do Rh di</t>
  </si>
  <si>
    <t>HAIALA METALURGICA</t>
  </si>
  <si>
    <t>Ligação  cliente recusou a reunião e não estar me atendendo Retomar o contato com a empresa para reagendar  02/07- (64) 3615-9400- falei com a recepci</t>
  </si>
  <si>
    <t>TRANSPORTADORA MZ DE PINHALZINHO LTDA</t>
  </si>
  <si>
    <t>Ligação (49) 3366-3689- Retomar o contato com a empresa novamente 02/07-(49) 3366-3689-Disse que tem que aguardar o retorno do responsável pelo e-mail</t>
  </si>
  <si>
    <t>Transportadora Gerbi</t>
  </si>
  <si>
    <t>Email (19) 3807-4377 disse que a DR. AURIA e advogada da empresa que ela não fica na empresa LUCRO PRESUMIDO PORTE PEQUENO</t>
  </si>
  <si>
    <t>PANATLANTICA S A</t>
  </si>
  <si>
    <t>Ligação (51) 34897777 Já tem assessoria a mais de 30 anos e não tem interesse</t>
  </si>
  <si>
    <t>Ligação (11) 4176-7877 - 7895 - ramal do Edson- Retomar amanhã para ver se ele quer uma reunião ou um ligação.  01/07- (11) 4176-7877 - 7895 - ramal d</t>
  </si>
  <si>
    <t>MACCO MAQUINAS E ACESSORIOS LTDA</t>
  </si>
  <si>
    <t>Ligação 11 5536-9653 - retomar o contato com empresa amanhã 01/07- 11 5536-9653-Disse que  o Jose não estar e pede contato no período da tarde as 16:0</t>
  </si>
  <si>
    <t>PRODUTOS ITAPURANGA</t>
  </si>
  <si>
    <t>Ligação  6233123380- retomar o contato com a empresa novamente caso ele não responda</t>
  </si>
  <si>
    <t>Ligação 01/07- 6233123380- Falei com o recepcionista ele me passou o contato com ele 6298504-3989- Elias - jurídico</t>
  </si>
  <si>
    <t>Ligação  01/07- 6232613133 - Falei com o benjamim ele informou que e o responsável pelo jurídico e agendarmos a reunião.</t>
  </si>
  <si>
    <t>GMO Laboratório de Controle de Qualidade</t>
  </si>
  <si>
    <t>Ligação 31 8403-7896 -Contato sem exito, só chama</t>
  </si>
  <si>
    <t>UNA PROSIL</t>
  </si>
  <si>
    <t>Ligação 2121871200- Retomar o contato com a empresa amanhã para agendar reunião  ramal 1206 - 10:30 ou 11:00, disse que ele estar em reunião e pede co</t>
  </si>
  <si>
    <t>PLATIT DO BRASIL S/A</t>
  </si>
  <si>
    <t>Ligação (41) 3035-8300 disse que não tem interesse por que já negociaram com o escritório que atende eles com o canal de denuncia, RN1 já estão assess</t>
  </si>
  <si>
    <t>SÃO JOSE CONSTRUÇÕES E COMERCIO LTDA</t>
  </si>
  <si>
    <t>Ligação (11) 30654444 Isaque super ignorante, não sabe tratar as pessoas com educação, disse que ele não tem interesse que na época que o Alexandro er</t>
  </si>
  <si>
    <t>Usina Coprodia</t>
  </si>
  <si>
    <t>Ligação (65) 33825400- retomar o contato segunda- feira para reagendar 01/07- (65) 33825400- disse que a Thais Não se encontra na empresa</t>
  </si>
  <si>
    <t>Baldoni Engenharia E Locacoes Ltda</t>
  </si>
  <si>
    <t>Ligação Retomar o contato com a empresa  16/06- (35) 32127097 - contato sem exito, só chama</t>
  </si>
  <si>
    <t>COOK EMPREENDIMENTOS EM ALIMENTACAO COLETIVA LTDA.</t>
  </si>
  <si>
    <t>Ligação  31 99229-1371- retomar o contato com a empresa novamente, caso ele não responda o WhatsApp   16/06- (31) 3214-6100- contato sem exito, só cha</t>
  </si>
  <si>
    <t>PLANETA PE INJETADOS LTDA</t>
  </si>
  <si>
    <t>Ligação  (48) 3265-5066  falei com a recepcionista disse que ela esta afastada da empresa e pediu contato em junho que e quando ela volta  01/07- (48)</t>
  </si>
  <si>
    <t>Mivita Construtora e Incorporadora</t>
  </si>
  <si>
    <t>Ligação 01/07- (27) 3207-4078 Falei com a recepcionista ela disse que ele não são obrigados a passar o contato para a responsável e pede para entrar e</t>
  </si>
  <si>
    <t>JOSE CELSO GONTIJO ENGENHARIA S/A</t>
  </si>
  <si>
    <t>Ligação (61) 3345-9000- contato sem exito, só chama 01/07- (61) 3345-9000-Falei com a Luciana ela disse que já tem um jurídico que cuida de tudo que n</t>
  </si>
  <si>
    <t>Estacionamentos Catuai Palladium</t>
  </si>
  <si>
    <t xml:space="preserve">Ligação 45 3939-0000 disse que esse numero 45 3939-0022 Fabio disse que o rodrigo não trabalhar mais na empresa, e disse que não tem interesse que já </t>
  </si>
  <si>
    <t>ASSOCIACAO BRASILEIRA DOS CONC DE AUTOMOVEIS FIAT</t>
  </si>
  <si>
    <t>Ligação  11 97151-1666- ligar para reagendar caso ele não responder 02/06- 11 97151-1666- contato sem exito, só chama    (11) 3662-7722- disse que ele</t>
  </si>
  <si>
    <t>Ligação (77) 3441-3300- retomar o contato amanhã de manhã 01/07-  (77) 3441-3300 - Reunião agendada para o dia 10/07 as 11:00</t>
  </si>
  <si>
    <t>Ligação 47) 3522-2971- retomar o contato com a Juliane após o dia 16/06  01/07-47) 3522-2971- Falei com a Juliane ela disse que essas 2 semanas ela nã</t>
  </si>
  <si>
    <t>GRUPO LUMA FIOS</t>
  </si>
  <si>
    <t>Ligação (19) 9.9771-3084- Retomar o contato com a empresa caso ele não responda</t>
  </si>
  <si>
    <t>COMERCIAL BARRIGA VERDE LTDA</t>
  </si>
  <si>
    <t>Ligação (19) 37283030- ligar caso ela não responda</t>
  </si>
  <si>
    <t>CAIC CENTRO DE AUDIOLOGIA E APARELHOS AUDITIVOS LTDA</t>
  </si>
  <si>
    <t>Ligação  retomar o contato com a empresa</t>
  </si>
  <si>
    <t>Territorial Transportes e Empreendimentos</t>
  </si>
  <si>
    <t>Ligação Reunião Confirmada</t>
  </si>
  <si>
    <t>Ligação 11 99504-0536- Retomar o contato caso ela não responda</t>
  </si>
  <si>
    <t>Controle de propostas enviadas e status de negociação.</t>
  </si>
  <si>
    <t>TOTAL ENVIADAS</t>
  </si>
  <si>
    <t>EM NEGOCIAÇÃO</t>
  </si>
  <si>
    <t>APROVADAS</t>
  </si>
  <si>
    <t>RECUSADAS</t>
  </si>
  <si>
    <t>TAXA DE APROVAÇÃO</t>
  </si>
  <si>
    <t>Data de Envio</t>
  </si>
  <si>
    <t>Valor Estimado (R$)</t>
  </si>
  <si>
    <t>Data de Retorno</t>
  </si>
  <si>
    <t>Herbert Passos Filho</t>
  </si>
  <si>
    <t>VAA - CONTENCIOSO TRIBUTÁRIO</t>
  </si>
  <si>
    <t>Em Negociação</t>
  </si>
  <si>
    <t>INSTITUTO RONALD MCDONALD DE APOIO A CRIANCA</t>
  </si>
  <si>
    <t>DUE DILIGENCE</t>
  </si>
  <si>
    <t>Aprovada</t>
  </si>
  <si>
    <t>treinamento</t>
  </si>
  <si>
    <t>Enviada</t>
  </si>
  <si>
    <t>UNIMED SERGIPE - COOPERATIVA DE TRABALHO MÉDICO</t>
  </si>
  <si>
    <t>INVESTIGAÇÃO CC</t>
  </si>
  <si>
    <t>VAA - PENAL</t>
  </si>
  <si>
    <t>Confederação Brasileira de Tênis de Mesa</t>
  </si>
  <si>
    <t>BPO - COMPLIANCE CONTROL</t>
  </si>
  <si>
    <t>Recusada</t>
  </si>
  <si>
    <t>Concorrente - Dra. Itala, me atendeu e informou que escolheram outro fornecedor</t>
  </si>
  <si>
    <t>Desistência</t>
  </si>
  <si>
    <t>COBASI COMERCIO DE PROD BASICOS E INDUSTRIALIZADOS LTDA</t>
  </si>
  <si>
    <t>VAA - CONTENCIOSO TRABALHISTA</t>
  </si>
  <si>
    <t>IMPLEMENTAÇÃO DE LGPD</t>
  </si>
  <si>
    <t>Inativo</t>
  </si>
  <si>
    <t>Ana Beatriz Soares Silva - Filial Alpha</t>
  </si>
  <si>
    <t>Leticia Pereira Mascarin - Filial Campinas</t>
  </si>
  <si>
    <t>Obs.: datas de contratação informadas pelo usuário em 17/07/2026. Ana Beatriz Soares Silva e Leticia Pereira Mascarin aparecem nos lançamentos mas não tiveram data de contratação informada (destacado em amarelo) — preencher quando disponível.</t>
  </si>
  <si>
    <t>SimNao</t>
  </si>
  <si>
    <t>StatusProposta</t>
  </si>
  <si>
    <t>TipoVisao</t>
  </si>
  <si>
    <t>Setor</t>
  </si>
  <si>
    <t>TipoProposta</t>
  </si>
  <si>
    <t>StatusAtividade</t>
  </si>
  <si>
    <t>TabulacaoLigacao</t>
  </si>
  <si>
    <t>Diário</t>
  </si>
  <si>
    <t>AC</t>
  </si>
  <si>
    <t>Semanal</t>
  </si>
  <si>
    <t>CANAL DE DENUNCIA</t>
  </si>
  <si>
    <t>Não Finalizada</t>
  </si>
  <si>
    <t>AL</t>
  </si>
  <si>
    <t>Remanejada</t>
  </si>
  <si>
    <t>Automotivo</t>
  </si>
  <si>
    <t>CIVEL</t>
  </si>
  <si>
    <t>AP</t>
  </si>
  <si>
    <t>Bancos</t>
  </si>
  <si>
    <t>COMPLIANCE CONTROL</t>
  </si>
  <si>
    <t>Comércio Atacadista</t>
  </si>
  <si>
    <t>COMPLIANCE NR1+</t>
  </si>
  <si>
    <t>COMPLIANCE PREVIDENCIÁRIO</t>
  </si>
  <si>
    <t>DIAGNÓSTICO - REFORMA TRIBUTÁRIA</t>
  </si>
  <si>
    <t>Distribuidor</t>
  </si>
  <si>
    <t>DIFAL</t>
  </si>
  <si>
    <t>DOSSIÊ</t>
  </si>
  <si>
    <t>DPO AS A SERVICE</t>
  </si>
  <si>
    <t>MA</t>
  </si>
  <si>
    <t>Escritório de Advocacia</t>
  </si>
  <si>
    <t>Escritório de Contabilidade</t>
  </si>
  <si>
    <t>Elaboração de Políticas - Compliance Control</t>
  </si>
  <si>
    <t>Leticia Pereira</t>
  </si>
  <si>
    <t>Esporte</t>
  </si>
  <si>
    <t>GESTÃO DE TERCEIROS CC</t>
  </si>
  <si>
    <t>Maria Helena</t>
  </si>
  <si>
    <t>Exportadora</t>
  </si>
  <si>
    <t>GESTÃO DO CANAL DE DENÚNCIAS</t>
  </si>
  <si>
    <t>PA</t>
  </si>
  <si>
    <t>Milena Faria</t>
  </si>
  <si>
    <t>Fábrica</t>
  </si>
  <si>
    <t>IMPLEMENTAÇÃO COMPLIANCE</t>
  </si>
  <si>
    <t>Nathália Santos</t>
  </si>
  <si>
    <t>Farmacêutico</t>
  </si>
  <si>
    <t>Victor Drumond</t>
  </si>
  <si>
    <t>Imobiliária</t>
  </si>
  <si>
    <t>PE</t>
  </si>
  <si>
    <t>Importadora e Exportadora</t>
  </si>
  <si>
    <t>LC - COMPLETO</t>
  </si>
  <si>
    <t>PI</t>
  </si>
  <si>
    <t>LC - CONTENCIOSO</t>
  </si>
  <si>
    <t>LC - CONTRATOS</t>
  </si>
  <si>
    <t>Indústria fabricante de máquinas</t>
  </si>
  <si>
    <t>LC - GESTÃO DE TERCEIROS</t>
  </si>
  <si>
    <t>LC - PROCURAÇÕES</t>
  </si>
  <si>
    <t>RO</t>
  </si>
  <si>
    <t>Logística</t>
  </si>
  <si>
    <t>LEGAL AUDIT</t>
  </si>
  <si>
    <t>RR</t>
  </si>
  <si>
    <t>Metalúrgica</t>
  </si>
  <si>
    <t>LEGAL ÉTICA</t>
  </si>
  <si>
    <t>Mineradora</t>
  </si>
  <si>
    <t>LEGAL TRAINING</t>
  </si>
  <si>
    <t>Órgãos Públicos</t>
  </si>
  <si>
    <t>lucro</t>
  </si>
  <si>
    <t>SE</t>
  </si>
  <si>
    <t>Prestadora de Serviços</t>
  </si>
  <si>
    <t>PARCERIA CC</t>
  </si>
  <si>
    <t>TO</t>
  </si>
  <si>
    <t>PARCERIA LC E LE</t>
  </si>
  <si>
    <t>Seguradoras</t>
  </si>
  <si>
    <t>PARCERIA VAA</t>
  </si>
  <si>
    <t>PARCERIA VTAX</t>
  </si>
  <si>
    <t>PARECER</t>
  </si>
  <si>
    <t>Telecomunicações</t>
  </si>
  <si>
    <t>PROJETO VT</t>
  </si>
  <si>
    <t>TESE LUCRO PRESUMIDO</t>
  </si>
  <si>
    <t>Pessoa Física</t>
  </si>
  <si>
    <t>TREINAMENTO DE ASSÉDIO MORAL E SEXUAL</t>
  </si>
  <si>
    <t>TREINAMENTO DE CÓDIGO DE CONDUTA</t>
  </si>
  <si>
    <t>TREINAMENTO NR-1</t>
  </si>
  <si>
    <t>VAA - ADMINISTRATIVO</t>
  </si>
  <si>
    <t>VAA - AMBIENTAL</t>
  </si>
  <si>
    <t>VAA - COBRANÇA EXTRAJUDICIAL</t>
  </si>
  <si>
    <t>VAA - CONSULTIVO</t>
  </si>
  <si>
    <t>VAA - CONTENCIOSO CÍVEL</t>
  </si>
  <si>
    <t>VAA - CONTRATOS</t>
  </si>
  <si>
    <t>VAA - IN COMPANY/SECONDMENT</t>
  </si>
  <si>
    <t>VAA - INVENTÁRIO</t>
  </si>
  <si>
    <t>VAA - LICITAÇÃO</t>
  </si>
  <si>
    <t>VAA - MARCAS</t>
  </si>
  <si>
    <t>VAA - NOTIFICAÇÃO EXTRAJUDICIAL</t>
  </si>
  <si>
    <t>VAA - PREPOSTOS</t>
  </si>
  <si>
    <t>VAA - PROCON</t>
  </si>
  <si>
    <t>VAA - RECUPERAÇÃO DE CREDITO</t>
  </si>
  <si>
    <t>VAA - SOCIETÁRIO</t>
  </si>
  <si>
    <t>VAA - TRABALHISTA</t>
  </si>
  <si>
    <t>VAA - TRIBUTÁRIO</t>
  </si>
  <si>
    <t>VALUATION</t>
  </si>
  <si>
    <t>VIGNATAX - ASSOCIAÇÕES</t>
  </si>
  <si>
    <t>VIGNATAX - OPORTUNIDADES TRIBUTÁRIAS</t>
  </si>
  <si>
    <t>VIGNATAX - PERSE</t>
  </si>
  <si>
    <t>VIGNATAX - PLANEJAMENTO TRIBUTÁRIO</t>
  </si>
  <si>
    <t>VIGNATAX - PROJETO ALAGOAS</t>
  </si>
  <si>
    <t>VIGNATAX - TRANSAÇÃO TRIBUTÁRIA</t>
  </si>
  <si>
    <t>VTAX - COMPLIANCE FISCAL</t>
  </si>
  <si>
    <t>VTAX - Consultoria da Reforma Tributária</t>
  </si>
  <si>
    <t>VTAX - REVISÃO PREVIDENCIÁRIA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</si>
</sst>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/yyyy"/>
    <numFmt numFmtId="165" formatCode="&quot;R$ &quot;#,##0.00"/>
  </numFmts>
  <fonts count="18" x14ac:knownFonts="1">
    <font>
      <color theme="1"/>
      <family val="2"/>
      <scheme val="minor"/>
      <sz val="11"/>
      <name val="Calibri"/>
    </font>
    <font>
      <b/>
      <charset val="1"/>
      <color rgb="FFFFFFFF"/>
      <sz val="16"/>
      <name val="Calibri"/>
    </font>
    <font>
      <i/>
      <charset val="1"/>
      <color rgb="FF1B2A4A"/>
      <sz val="10"/>
      <name val="Calibri"/>
    </font>
    <font>
      <b/>
      <charset val="1"/>
      <color rgb="FF1B2A4A"/>
      <sz val="10"/>
      <name val="Calibri"/>
    </font>
    <font>
      <b/>
      <charset val="1"/>
      <color rgb="FF0F1B33"/>
      <sz val="11"/>
      <name val="Calibri"/>
    </font>
    <font>
      <charset val="1"/>
      <color rgb="FF999999"/>
      <sz val="8"/>
      <name val="Calibri"/>
    </font>
    <font>
      <b/>
      <charset val="1"/>
      <color rgb="FF1B2A4A"/>
      <sz val="12"/>
      <name val="Calibri"/>
    </font>
    <font>
      <b/>
      <charset val="1"/>
      <color rgb="FFFFFFFF"/>
      <sz val="10"/>
      <name val="Calibri"/>
    </font>
    <font>
      <b/>
      <charset val="1"/>
      <color rgb="FF1B2A4A"/>
      <sz val="18"/>
      <name val="Calibri"/>
    </font>
    <font>
      <b/>
      <charset val="1"/>
      <color rgb="FFFFFFFF"/>
      <sz val="11"/>
      <name val="Calibri"/>
    </font>
    <font>
      <charset val="1"/>
      <color theme="1"/>
      <family val="2"/>
      <sz val="11"/>
      <name val="Calibri"/>
    </font>
    <font>
      <b/>
      <charset val="1"/>
      <color rgb="FF0000FF"/>
      <sz val="11"/>
      <name val="Calibri"/>
    </font>
    <font>
      <i/>
      <charset val="1"/>
      <color rgb="FF999999"/>
      <sz val="8"/>
      <name val="Calibri"/>
    </font>
    <font>
      <b/>
      <charset val="1"/>
      <color rgb="FF1B2A4A"/>
      <sz val="15"/>
      <name val="Calibri"/>
    </font>
    <font>
      <i/>
      <charset val="1"/>
      <color rgb="FF707A8A"/>
      <sz val="10"/>
      <name val="Calibri"/>
    </font>
    <font>
      <b/>
      <charset val="1"/>
      <sz val="11"/>
      <name val="Calibri"/>
    </font>
    <font>
      <i/>
      <charset val="1"/>
      <color rgb="FF707A8A"/>
      <sz val="9"/>
      <name val="Calibri"/>
    </font>
    <font>
      <charset val="1"/>
      <color rgb="FF3F3F76"/>
      <family val="2"/>
      <sz val="11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1B2A4A"/>
        <bgColor rgb="FF0F1B33"/>
      </patternFill>
    </fill>
    <fill>
      <patternFill patternType="solid">
        <fgColor rgb="FFFBF1D3"/>
        <bgColor rgb="FFFFF2CC"/>
      </patternFill>
    </fill>
    <fill>
      <patternFill patternType="solid">
        <fgColor rgb="FFFFFFFF"/>
        <bgColor rgb="FFF2F2F2"/>
      </patternFill>
    </fill>
    <fill>
      <patternFill patternType="solid">
        <fgColor rgb="FFD9EAD3"/>
        <bgColor rgb="FFD9D9D9"/>
      </patternFill>
    </fill>
    <fill>
      <patternFill patternType="solid">
        <fgColor rgb="FFF4CCCC"/>
        <bgColor rgb="FFDDD6C4"/>
      </patternFill>
    </fill>
    <fill>
      <patternFill patternType="solid">
        <fgColor rgb="FFF2F2F2"/>
        <bgColor rgb="FFF3EFE3"/>
      </patternFill>
    </fill>
    <fill>
      <patternFill patternType="solid">
        <fgColor rgb="FFF3EFE3"/>
        <bgColor rgb="FFF2F2F2"/>
      </patternFill>
    </fill>
    <fill>
      <patternFill patternType="solid">
        <fgColor rgb="FFFFCC99"/>
        <bgColor rgb="FFF4CCCC"/>
      </patternFill>
    </fill>
    <fill>
      <patternFill patternType="solid">
        <fgColor rgb="FFFFF2CC"/>
        <bgColor rgb="FFFBF1D3"/>
      </patternFill>
    </fill>
  </fills>
  <borders count="4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DD6C4"/>
      </left>
      <right style="thin">
        <color rgb="FFDDD6C4"/>
      </right>
      <top style="thin">
        <color rgb="FFDDD6C4"/>
      </top>
      <bottom style="thin">
        <color rgb="FFDDD6C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2" borderId="0" xfId="0" applyFont="1" applyFill="1" applyAlignment="1">
      <alignment horizontal="left" vertical="center" indent="1"/>
    </xf>
    <xf numFmtId="0" fontId="2" fillId="3" borderId="0" xfId="0" applyFont="1" applyFill="1" applyAlignment="1">
      <alignment horizontal="left" vertical="center" indent="1"/>
    </xf>
    <xf numFmtId="0" fontId="3" fillId="0" borderId="0" xfId="0" applyFont="1"/>
    <xf numFmtId="0" fontId="4" fillId="4" borderId="1" xfId="0" applyFont="1" applyFill="1" applyBorder="1"/>
    <xf numFmtId="0" fontId="5" fillId="0" borderId="0" xfId="0" applyFont="1"/>
    <xf numFmtId="14" fontId="5" fillId="0" borderId="0" xfId="0" applyNumberFormat="1" applyFont="1"/>
    <xf numFmtId="14" fontId="4" fillId="4" borderId="1" xfId="0" applyNumberFormat="1" applyFont="1" applyFill="1" applyBorder="1"/>
    <xf numFmtId="0" fontId="6" fillId="0" borderId="0" xfId="0" applyFont="1"/>
    <xf numFmtId="0" fontId="7" fillId="2" borderId="1" xfId="0" applyFont="1" applyFill="1" applyBorder="1" applyAlignment="1">
      <alignment horizontal="center" vertical="center" wrapText="1"/>
    </xf>
    <xf numFmtId="1" fontId="8" fillId="3" borderId="1" xfId="0" applyNumberFormat="1" applyFont="1" applyFill="1" applyBorder="1" applyAlignment="1">
      <alignment horizontal="center" vertical="center"/>
    </xf>
    <xf numFmtId="9" fontId="8" fillId="5" borderId="1" xfId="0" applyNumberFormat="1" applyFont="1" applyFill="1" applyBorder="1" applyAlignment="1">
      <alignment horizontal="center" vertical="center"/>
    </xf>
    <xf numFmtId="9" fontId="8" fillId="6" borderId="1" xfId="0" applyNumberFormat="1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 wrapText="1"/>
    </xf>
    <xf numFmtId="0" fontId="10" fillId="7" borderId="1" xfId="0" applyFont="1" applyFill="1" applyBorder="1" applyAlignment="1">
      <alignment horizontal="left" vertical="center"/>
    </xf>
    <xf numFmtId="0" fontId="11" fillId="7" borderId="1" xfId="0" applyFont="1" applyFill="1" applyBorder="1" applyAlignment="1">
      <alignment horizontal="center" vertical="center"/>
    </xf>
    <xf numFmtId="0" fontId="10" fillId="7" borderId="1" xfId="0" applyFont="1" applyFill="1" applyBorder="1" applyAlignment="1">
      <alignment horizontal="center" vertical="center"/>
    </xf>
    <xf numFmtId="9" fontId="10" fillId="7" borderId="1" xfId="0" applyNumberFormat="1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left" vertical="center"/>
    </xf>
    <xf numFmtId="0" fontId="11" fillId="4" borderId="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9" fontId="10" fillId="4" borderId="1" xfId="0" applyNumberFormat="1" applyFont="1" applyFill="1" applyBorder="1" applyAlignment="1">
      <alignment horizontal="center" vertical="center"/>
    </xf>
    <xf numFmtId="0" fontId="12" fillId="0" borderId="0" xfId="0" applyFont="1"/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center"/>
    </xf>
    <xf numFmtId="0" fontId="13" fillId="0" borderId="0" xfId="0" applyFont="1"/>
    <xf numFmtId="0" fontId="14" fillId="0" borderId="0" xfId="0" applyFont="1"/>
    <xf numFmtId="0" fontId="9" fillId="2" borderId="2" xfId="0" applyFont="1" applyFill="1" applyBorder="1" applyAlignment="1">
      <alignment horizontal="left" vertical="center"/>
    </xf>
    <xf numFmtId="0" fontId="9" fillId="2" borderId="2" xfId="0" applyFont="1" applyFill="1" applyBorder="1" applyAlignment="1">
      <alignment horizontal="center" vertical="center"/>
    </xf>
    <xf numFmtId="0" fontId="10" fillId="0" borderId="2" xfId="0" applyFont="1" applyBorder="1" applyAlignment="1">
      <alignment horizontal="left"/>
    </xf>
    <xf numFmtId="0" fontId="10" fillId="0" borderId="2" xfId="0" applyFont="1" applyBorder="1" applyAlignment="1">
      <alignment horizontal="center"/>
    </xf>
    <xf numFmtId="0" fontId="15" fillId="8" borderId="2" xfId="0" applyFont="1" applyFill="1" applyBorder="1" applyAlignment="1">
      <alignment horizontal="left"/>
    </xf>
    <xf numFmtId="0" fontId="15" fillId="8" borderId="2" xfId="0" applyFont="1" applyFill="1" applyBorder="1" applyAlignment="1">
      <alignment horizontal="center"/>
    </xf>
    <xf numFmtId="0" fontId="9" fillId="2" borderId="2" xfId="0" applyFont="1" applyFill="1" applyBorder="1" applyAlignment="1">
      <alignment horizontal="center" vertical="center" wrapText="1"/>
    </xf>
    <xf numFmtId="164" fontId="10" fillId="0" borderId="2" xfId="0" applyNumberFormat="1" applyFont="1" applyBorder="1" applyAlignment="1">
      <alignment horizontal="center"/>
    </xf>
    <xf numFmtId="0" fontId="16" fillId="0" borderId="0" xfId="0" applyFont="1" applyAlignment="1">
      <alignment vertical="top" wrapText="1"/>
    </xf>
    <xf numFmtId="164" fontId="10" fillId="0" borderId="0" xfId="0" applyNumberFormat="1" applyFont="1"/>
    <xf numFmtId="0" fontId="17" fillId="9" borderId="3" xfId="0" applyFont="1" applyFill="1" applyBorder="1"/>
    <xf numFmtId="9" fontId="8" fillId="3" borderId="1" xfId="0" applyNumberFormat="1" applyFont="1" applyFill="1" applyBorder="1" applyAlignment="1">
      <alignment horizontal="center" vertical="center"/>
    </xf>
    <xf numFmtId="165" fontId="10" fillId="0" borderId="0" xfId="0" applyNumberFormat="1" applyFont="1"/>
    <xf numFmtId="0" fontId="9" fillId="2" borderId="0" xfId="0" applyFont="1" applyFill="1"/>
    <xf numFmtId="0" fontId="10" fillId="1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name="TReunioes" displayName="TReunioes" ref="A1:N301" totalsRowShown="1" headerRowCount="0">
  <autoFilter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</autoFilter>
  <tableColumns count="14">
    <tableColumn id="1" name="Data da Reunião"/>
    <tableColumn id="2" name="Empresa"/>
    <tableColumn id="3" name="Segmento"/>
    <tableColumn id="4" name="CNPJ"/>
    <tableColumn id="5" name="Nome do Responsável"/>
    <tableColumn id="6" name="Cargo"/>
    <tableColumn id="7" name="Cidade"/>
    <tableColumn id="8" name="Estado"/>
    <tableColumn id="9" name="SDR"/>
    <tableColumn id="10" name="Consultor/Especialista"/>
    <tableColumn id="11" name="Status"/>
    <tableColumn id="12" name="Teve Proposta"/>
    <tableColumn id="13" name="Tipo de Proposta"/>
    <tableColumn id="14" name="Negócio Fechado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name="TLigacoes" displayName="TLigacoes" ref="A1:F401" totalsRowShown="1" headerRowCount="0">
  <autoFilter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Data"/>
    <tableColumn id="2" name="SDR"/>
    <tableColumn id="3" name="Empresa"/>
    <tableColumn id="4" name="Status"/>
    <tableColumn id="5" name="Tabulação"/>
    <tableColumn id="6" name="Observação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name="TPropostas" displayName="TPropostas" ref="A11:H211" totalsRowShown="1" headerRowCount="0">
  <autoFilter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name="Data de Envio"/>
    <tableColumn id="2" name="Empresa"/>
    <tableColumn id="3" name="SDR"/>
    <tableColumn id="4" name="Tipo de Proposta"/>
    <tableColumn id="5" name="Valor Estimado (R$)"/>
    <tableColumn id="6" name="Status"/>
    <tableColumn id="7" name="Data de Retorno"/>
    <tableColumn id="8" name="Observação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B2A4A"/>
  </sheetPr>
  <dimension ref="A1:H61"/>
  <sheetViews>
    <sheetView workbookViewId="0" showGridLines="0" zoomScale="100" zoomScaleNormal="100">
      <pane ySplit="6" topLeftCell="A37" activePane="bottomLeft" state="frozen"/>
      <selection pane="bottomLeft" activeCell="C9" sqref="C9"/>
    </sheetView>
  </sheetViews>
  <sheetFormatPr defaultRowHeight="15" outlineLevelRow="0" outlineLevelCol="0" x14ac:dyDescent="0" defaultColWidth="8.7109375"/>
  <cols>
    <col min="1" max="1" width="26" customWidth="1"/>
    <col min="2" max="8" width="16" customWidth="1"/>
  </cols>
  <sheetData>
    <row r="1" ht="33.75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19.5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4" ht="15" customHeight="1" spans="1:8" x14ac:dyDescent="0.25">
      <c r="A4" s="3" t="s">
        <v>2</v>
      </c>
      <c r="B4" s="4" t="s">
        <v>3</v>
      </c>
      <c r="D4" s="5" t="s">
        <v>4</v>
      </c>
      <c r="E4" s="6">
        <f>IF($B$4="Diário",$B$5,IF($B$4="Semanal",$B$5-WEEKDAY($B$5,3),DATE(YEAR($B$5),MONTH($B$5),1)))</f>
        <v>46204</v>
      </c>
      <c r="G4" s="5" t="s">
        <v>5</v>
      </c>
      <c r="H4" s="6">
        <f>DATE(YEAR($B$5),MONTH($B$5),1)</f>
        <v>46204</v>
      </c>
    </row>
    <row r="5" ht="15" customHeight="1" spans="1:8" x14ac:dyDescent="0.25">
      <c r="A5" s="3" t="s">
        <v>6</v>
      </c>
      <c r="B5" s="7">
        <f>TODAY()</f>
        <v>46222</v>
      </c>
      <c r="D5" s="5" t="s">
        <v>7</v>
      </c>
      <c r="E5" s="6">
        <f>IF($B$4="Diário",$B$5,IF($B$4="Semanal",$B$5-WEEKDAY($B$5,3)+6,EOMONTH($B$5,0)))</f>
        <v>46234</v>
      </c>
      <c r="G5" s="5" t="s">
        <v>8</v>
      </c>
      <c r="H5" s="6">
        <f>EOMONTH($B$5,0)</f>
        <v>46234</v>
      </c>
    </row>
    <row r="7" ht="15" customHeight="1" spans="1:1" x14ac:dyDescent="0.25">
      <c r="A7" s="8" t="s">
        <v>9</v>
      </c>
    </row>
    <row r="8" ht="30" customHeight="1" spans="1:8" x14ac:dyDescent="0.25">
      <c r="A8" s="9" t="s">
        <v>10</v>
      </c>
      <c r="B8" s="9"/>
      <c r="C8" s="9" t="s">
        <v>11</v>
      </c>
      <c r="D8" s="9"/>
      <c r="E8" s="9" t="s">
        <v>12</v>
      </c>
      <c r="F8" s="9"/>
      <c r="G8" s="9" t="s">
        <v>13</v>
      </c>
      <c r="H8" s="9"/>
    </row>
    <row r="9" ht="33.75" customHeight="1" spans="1:8" x14ac:dyDescent="0.25">
      <c r="A9" s="10">
        <f>COUNTIFS(TLigacoes[Data],"&gt;="&amp;Visão_Geral!$E$4,TLigacoes[Data],"&lt;="&amp;Visão_Geral!$E$5,TLigacoes[Status],"Finalizada")</f>
        <v>237</v>
      </c>
      <c r="B9" s="10"/>
      <c r="C9" s="10">
        <f>COUNTIFS(TReunioes[Data da Reunião],"&gt;="&amp;Visão_Geral!$E$4,TReunioes[Data da Reunião],"&lt;="&amp;Visão_Geral!$E$5)</f>
        <v>25</v>
      </c>
      <c r="D9" s="10"/>
      <c r="E9" s="10">
        <f>COUNTIFS(TReunioes[Data da Reunião],"&gt;="&amp;Visão_Geral!$E$4,TReunioes[Data da Reunião],"&lt;="&amp;Visão_Geral!$E$5,TReunioes[Status],"Realizada")</f>
        <v>12</v>
      </c>
      <c r="F9" s="10"/>
      <c r="G9" s="10">
        <f>COUNTIFS(TReunioes[Data da Reunião],"&gt;="&amp;Visão_Geral!$E$4,TReunioes[Data da Reunião],"&lt;="&amp;Visão_Geral!$E$5,TReunioes[Status],"Cancelada")</f>
        <v>9</v>
      </c>
      <c r="H9" s="10"/>
    </row>
    <row r="11" ht="30" customHeight="1" spans="1:6" x14ac:dyDescent="0.25">
      <c r="A11" s="9" t="s">
        <v>14</v>
      </c>
      <c r="B11" s="9"/>
      <c r="C11" s="9" t="s">
        <v>15</v>
      </c>
      <c r="D11" s="9"/>
      <c r="E11" s="9" t="s">
        <v>16</v>
      </c>
      <c r="F11" s="9"/>
    </row>
    <row r="12" ht="33.75" customHeight="1" spans="1:6" x14ac:dyDescent="0.25">
      <c r="A12" s="10">
        <f>COUNTIFS(TReunioes[Data da Reunião],"&gt;="&amp;Visão_Geral!$E$4,TReunioes[Data da Reunião],"&lt;="&amp;Visão_Geral!$E$5,TReunioes[Status],"Remanejada")</f>
        <v>0</v>
      </c>
      <c r="B12" s="10"/>
      <c r="C12" s="10">
        <f>COUNTIFS(TPropostas[Data de Envio],"&gt;="&amp;Visão_Geral!$E$4,TPropostas[Data de Envio],"&lt;="&amp;Visão_Geral!$E$5)</f>
        <v>11</v>
      </c>
      <c r="D12" s="10"/>
      <c r="E12" s="10">
        <f>COUNTIFS(TPropostas[Status],"Aprovada",TPropostas[Data de Retorno],"&gt;="&amp;Visão_Geral!$E$4,TPropostas[Data de Retorno],"&lt;="&amp;Visão_Geral!$E$5)</f>
        <v>2</v>
      </c>
      <c r="F12" s="10"/>
    </row>
    <row r="15" ht="15" customHeight="1" spans="1:1" x14ac:dyDescent="0.25">
      <c r="A15" s="8" t="s">
        <v>17</v>
      </c>
    </row>
    <row r="17" ht="30" customHeight="1" spans="1:8" x14ac:dyDescent="0.25">
      <c r="A17" s="9" t="s">
        <v>18</v>
      </c>
      <c r="B17" s="9"/>
      <c r="C17" s="9" t="s">
        <v>19</v>
      </c>
      <c r="D17" s="9"/>
      <c r="E17" s="9" t="s">
        <v>20</v>
      </c>
      <c r="F17" s="9"/>
      <c r="G17" s="9" t="s">
        <v>21</v>
      </c>
      <c r="H17" s="9"/>
    </row>
    <row r="18" ht="33.75" customHeight="1" spans="1:8" x14ac:dyDescent="0.25">
      <c r="A18" s="11">
        <f>IFERROR(COUNTIFS(TReunioes[Data da Reunião],"&gt;="&amp;Visão_Geral!$E$4,TReunioes[Data da Reunião],"&lt;="&amp;Visão_Geral!$E$5)/COUNTIFS(TLigacoes[Data],"&gt;="&amp;Visão_Geral!$E$4,TLigacoes[Data],"&lt;="&amp;Visão_Geral!$E$5,TLigacoes[Status],"Finalizada"),0)</f>
        <v>0.10548523206751055</v>
      </c>
      <c r="B18" s="11"/>
      <c r="C18" s="11">
        <f>IFERROR(COUNTIFS(TReunioes[Data da Reunião],"&gt;="&amp;Visão_Geral!$E$4,TReunioes[Data da Reunião],"&lt;="&amp;Visão_Geral!$E$5,TReunioes[Status],"Realizada")/COUNTIFS(TReunioes[Data da Reunião],"&gt;="&amp;Visão_Geral!$E$4,TReunioes[Data da Reunião],"&lt;="&amp;Visão_Geral!$E$5),0)</f>
        <v>0.48</v>
      </c>
      <c r="D18" s="11"/>
      <c r="E18" s="11">
        <f>IFERROR(COUNTIFS(TPropostas[Data de Envio],"&gt;="&amp;Visão_Geral!$E$4,TPropostas[Data de Envio],"&lt;="&amp;Visão_Geral!$E$5)/COUNTIFS(TReunioes[Data da Reunião],"&gt;="&amp;Visão_Geral!$E$4,TReunioes[Data da Reunião],"&lt;="&amp;Visão_Geral!$E$5,TReunioes[Status],"Realizada"),0)</f>
        <v>0.9166666666666666</v>
      </c>
      <c r="F18" s="11"/>
      <c r="G18" s="11">
        <f>IFERROR(COUNTIFS(TPropostas[Status],"Aprovada",TPropostas[Data de Retorno],"&gt;="&amp;Visão_Geral!$E$4,TPropostas[Data de Retorno],"&lt;="&amp;Visão_Geral!$E$5)/COUNTIFS(TPropostas[Data de Envio],"&gt;="&amp;Visão_Geral!$E$4,TPropostas[Data de Envio],"&lt;="&amp;Visão_Geral!$E$5),0)</f>
        <v>0.18181818181818182</v>
      </c>
      <c r="H18" s="11"/>
    </row>
    <row r="20" ht="30" customHeight="1" spans="1:6" x14ac:dyDescent="0.25">
      <c r="A20" s="9" t="s">
        <v>22</v>
      </c>
      <c r="B20" s="9"/>
      <c r="C20" s="9" t="s">
        <v>23</v>
      </c>
      <c r="D20" s="9"/>
      <c r="E20" s="9" t="s">
        <v>24</v>
      </c>
      <c r="F20" s="9"/>
    </row>
    <row r="21" ht="33.75" customHeight="1" spans="1:6" x14ac:dyDescent="0.25">
      <c r="A21" s="12">
        <f>IFERROR(COUNTIFS(TReunioes[Data da Reunião],"&gt;="&amp;Visão_Geral!$E$4,TReunioes[Data da Reunião],"&lt;="&amp;Visão_Geral!$E$5,TReunioes[Status],"Cancelada")/COUNTIFS(TReunioes[Data da Reunião],"&gt;="&amp;Visão_Geral!$E$4,TReunioes[Data da Reunião],"&lt;="&amp;Visão_Geral!$E$5),0)</f>
        <v>0.36</v>
      </c>
      <c r="B21" s="12"/>
      <c r="C21" s="11">
        <f>IFERROR(COUNTIFS(TReunioes[Data da Reunião],"&gt;="&amp;Visão_Geral!$E$4,TReunioes[Data da Reunião],"&lt;="&amp;Visão_Geral!$E$5,TReunioes[Status],"Remanejada")/COUNTIFS(TReunioes[Data da Reunião],"&gt;="&amp;Visão_Geral!$E$4,TReunioes[Data da Reunião],"&lt;="&amp;Visão_Geral!$E$5),0)</f>
        <v>0</v>
      </c>
      <c r="D21" s="11"/>
      <c r="E21" s="11">
        <f>IFERROR(COUNTIFS(TPropostas[Status],"Aprovada",TPropostas[Data de Retorno],"&gt;="&amp;Visão_Geral!$E$4,TPropostas[Data de Retorno],"&lt;="&amp;Visão_Geral!$E$5)/COUNTIFS(TReunioes[Data da Reunião],"&gt;="&amp;Visão_Geral!$E$4,TReunioes[Data da Reunião],"&lt;="&amp;Visão_Geral!$E$5),0)</f>
        <v>0.08</v>
      </c>
      <c r="F21" s="11"/>
    </row>
    <row r="24" ht="15" customHeight="1" spans="1:1" x14ac:dyDescent="0.25">
      <c r="A24" s="8" t="s">
        <v>25</v>
      </c>
    </row>
    <row r="25" ht="25.5" customHeight="1" spans="1:5" x14ac:dyDescent="0.25">
      <c r="A25" s="13" t="s">
        <v>26</v>
      </c>
      <c r="B25" s="13" t="s">
        <v>27</v>
      </c>
      <c r="C25" s="13" t="s">
        <v>28</v>
      </c>
      <c r="D25" s="13" t="s">
        <v>29</v>
      </c>
      <c r="E25" s="13" t="s">
        <v>30</v>
      </c>
    </row>
    <row r="26" ht="21.75" customHeight="1" spans="1:5" x14ac:dyDescent="0.25">
      <c r="A26" s="14" t="s">
        <v>31</v>
      </c>
      <c r="B26" s="15">
        <v>120</v>
      </c>
      <c r="C26" s="16">
        <f>COUNTIFS(TReunioes[Data da Reunião],"&gt;="&amp;Visão_Geral!$H$4,TReunioes[Data da Reunião],"&lt;="&amp;Visão_Geral!$H$5)</f>
        <v>25</v>
      </c>
      <c r="D26" s="16">
        <f>MAX($B26-$C26,0)</f>
        <v>95</v>
      </c>
      <c r="E26" s="17">
        <f>IFERROR($C26/$B26,0)</f>
        <v>0.20833333333333334</v>
      </c>
    </row>
    <row r="27" ht="21.75" customHeight="1" spans="1:5" x14ac:dyDescent="0.25">
      <c r="A27" s="18" t="s">
        <v>32</v>
      </c>
      <c r="B27" s="19">
        <v>64</v>
      </c>
      <c r="C27" s="20">
        <f>COUNTIFS(TReunioes[Data da Reunião],"&gt;="&amp;Visão_Geral!$H$4,TReunioes[Data da Reunião],"&lt;="&amp;Visão_Geral!$H$5,TReunioes[Status],"Realizada")</f>
        <v>12</v>
      </c>
      <c r="D27" s="20">
        <f>MAX($B27-$C27,0)</f>
        <v>52</v>
      </c>
      <c r="E27" s="21">
        <f>IFERROR($C27/$B27,0)</f>
        <v>0.1875</v>
      </c>
    </row>
    <row r="28" ht="21.75" customHeight="1" spans="1:5" x14ac:dyDescent="0.25">
      <c r="A28" s="14" t="s">
        <v>33</v>
      </c>
      <c r="B28" s="15">
        <v>15</v>
      </c>
      <c r="C28" s="16">
        <f>COUNTIFS(TPropostas[Status],"Aprovada",TPropostas[Data de Retorno],"&gt;="&amp;Visão_Geral!$H$4,TPropostas[Data de Retorno],"&lt;="&amp;Visão_Geral!$H$5)</f>
        <v>2</v>
      </c>
      <c r="D28" s="16">
        <f>MAX($B28-$C28,0)</f>
        <v>13</v>
      </c>
      <c r="E28" s="17">
        <f>IFERROR($C28/$B28,0)</f>
        <v>0.13333333333333333</v>
      </c>
    </row>
    <row r="29" ht="15" customHeight="1" spans="1:1" x14ac:dyDescent="0.25">
      <c r="A29" s="22" t="s">
        <v>34</v>
      </c>
    </row>
    <row r="32" ht="15" customHeight="1" spans="1:1" x14ac:dyDescent="0.25">
      <c r="A32" s="8" t="s">
        <v>35</v>
      </c>
    </row>
    <row r="33" ht="27.75" customHeight="1" spans="1:8" x14ac:dyDescent="0.25">
      <c r="A33" s="13" t="s">
        <v>36</v>
      </c>
      <c r="B33" s="13" t="s">
        <v>37</v>
      </c>
      <c r="C33" s="13" t="s">
        <v>38</v>
      </c>
      <c r="D33" s="13" t="s">
        <v>39</v>
      </c>
      <c r="E33" s="13" t="s">
        <v>40</v>
      </c>
      <c r="F33" s="13" t="s">
        <v>41</v>
      </c>
      <c r="G33" s="13" t="s">
        <v>42</v>
      </c>
      <c r="H33" s="13" t="s">
        <v>43</v>
      </c>
    </row>
    <row r="34" ht="15" customHeight="1" spans="1:8" x14ac:dyDescent="0.25">
      <c r="A34" s="14" t="s">
        <v>44</v>
      </c>
      <c r="B34" s="16">
        <f>COUNTIFS(TLigacoes[Data],"&gt;="&amp;Visão_Geral!$E$4,TLigacoes[Data],"&lt;="&amp;Visão_Geral!$E$5,TLigacoes[Status],"Finalizada",TLigacoes[SDR],$A34)</f>
        <v>0</v>
      </c>
      <c r="C34" s="16">
        <f>COUNTIFS(TReunioes[Data da Reunião],"&gt;="&amp;Visão_Geral!$E$4,TReunioes[Data da Reunião],"&lt;="&amp;Visão_Geral!$E$5,TReunioes[SDR],$A34)</f>
        <v>0</v>
      </c>
      <c r="D34" s="16">
        <f>COUNTIFS(TReunioes[Data da Reunião],"&gt;="&amp;Visão_Geral!$E$4,TReunioes[Data da Reunião],"&lt;="&amp;Visão_Geral!$E$5,TReunioes[SDR],$A34,TReunioes[Status],"Realizada")</f>
        <v>0</v>
      </c>
      <c r="E34" s="16">
        <f>COUNTIFS(TReunioes[Data da Reunião],"&gt;="&amp;Visão_Geral!$E$4,TReunioes[Data da Reunião],"&lt;="&amp;Visão_Geral!$E$5,TReunioes[SDR],$A34,TReunioes[Status],"Cancelada")</f>
        <v>0</v>
      </c>
      <c r="F34" s="16">
        <f>COUNTIFS(TReunioes[Data da Reunião],"&gt;="&amp;Visão_Geral!$E$4,TReunioes[Data da Reunião],"&lt;="&amp;Visão_Geral!$E$5,TReunioes[SDR],$A34,TReunioes[Status],"Remanejada")</f>
        <v>0</v>
      </c>
      <c r="G34" s="16">
        <f>COUNTIFS(TPropostas[Data de Envio],"&gt;="&amp;Visão_Geral!$E$4,TPropostas[Data de Envio],"&lt;="&amp;Visão_Geral!$E$5,TPropostas[SDR],$A34)</f>
        <v>0</v>
      </c>
      <c r="H34" s="16">
        <f>COUNTIFS(TPropostas[Status],"Aprovada",TPropostas[Data de Retorno],"&gt;="&amp;Visão_Geral!$E$4,TPropostas[Data de Retorno],"&lt;="&amp;Visão_Geral!$E$5,TPropostas[SDR],$A34)</f>
        <v>0</v>
      </c>
    </row>
    <row r="35" ht="15" customHeight="1" spans="1:8" x14ac:dyDescent="0.25">
      <c r="A35" s="18" t="s">
        <v>45</v>
      </c>
      <c r="B35" s="20">
        <f>COUNTIFS(TLigacoes[Data],"&gt;="&amp;Visão_Geral!$E$4,TLigacoes[Data],"&lt;="&amp;Visão_Geral!$E$5,TLigacoes[Status],"Finalizada",TLigacoes[SDR],$A35)</f>
        <v>0</v>
      </c>
      <c r="C35" s="20">
        <f>COUNTIFS(TReunioes[Data da Reunião],"&gt;="&amp;Visão_Geral!$E$4,TReunioes[Data da Reunião],"&lt;="&amp;Visão_Geral!$E$5,TReunioes[SDR],$A35)</f>
        <v>0</v>
      </c>
      <c r="D35" s="20">
        <f>COUNTIFS(TReunioes[Data da Reunião],"&gt;="&amp;Visão_Geral!$E$4,TReunioes[Data da Reunião],"&lt;="&amp;Visão_Geral!$E$5,TReunioes[SDR],$A35,TReunioes[Status],"Realizada")</f>
        <v>0</v>
      </c>
      <c r="E35" s="20">
        <f>COUNTIFS(TReunioes[Data da Reunião],"&gt;="&amp;Visão_Geral!$E$4,TReunioes[Data da Reunião],"&lt;="&amp;Visão_Geral!$E$5,TReunioes[SDR],$A35,TReunioes[Status],"Cancelada")</f>
        <v>0</v>
      </c>
      <c r="F35" s="20">
        <f>COUNTIFS(TReunioes[Data da Reunião],"&gt;="&amp;Visão_Geral!$E$4,TReunioes[Data da Reunião],"&lt;="&amp;Visão_Geral!$E$5,TReunioes[SDR],$A35,TReunioes[Status],"Remanejada")</f>
        <v>0</v>
      </c>
      <c r="G35" s="20">
        <f>COUNTIFS(TPropostas[Data de Envio],"&gt;="&amp;Visão_Geral!$E$4,TPropostas[Data de Envio],"&lt;="&amp;Visão_Geral!$E$5,TPropostas[SDR],$A35)</f>
        <v>0</v>
      </c>
      <c r="H35" s="20">
        <f>COUNTIFS(TPropostas[Status],"Aprovada",TPropostas[Data de Retorno],"&gt;="&amp;Visão_Geral!$E$4,TPropostas[Data de Retorno],"&lt;="&amp;Visão_Geral!$E$5,TPropostas[SDR],$A35)</f>
        <v>0</v>
      </c>
    </row>
    <row r="36" ht="15" customHeight="1" spans="1:8" x14ac:dyDescent="0.25">
      <c r="A36" s="14" t="s">
        <v>46</v>
      </c>
      <c r="B36" s="16">
        <f>COUNTIFS(TLigacoes[Data],"&gt;="&amp;Visão_Geral!$E$4,TLigacoes[Data],"&lt;="&amp;Visão_Geral!$E$5,TLigacoes[Status],"Finalizada",TLigacoes[SDR],$A36)</f>
        <v>0</v>
      </c>
      <c r="C36" s="16">
        <f>COUNTIFS(TReunioes[Data da Reunião],"&gt;="&amp;Visão_Geral!$E$4,TReunioes[Data da Reunião],"&lt;="&amp;Visão_Geral!$E$5,TReunioes[SDR],$A36)</f>
        <v>0</v>
      </c>
      <c r="D36" s="16">
        <f>COUNTIFS(TReunioes[Data da Reunião],"&gt;="&amp;Visão_Geral!$E$4,TReunioes[Data da Reunião],"&lt;="&amp;Visão_Geral!$E$5,TReunioes[SDR],$A36,TReunioes[Status],"Realizada")</f>
        <v>0</v>
      </c>
      <c r="E36" s="16">
        <f>COUNTIFS(TReunioes[Data da Reunião],"&gt;="&amp;Visão_Geral!$E$4,TReunioes[Data da Reunião],"&lt;="&amp;Visão_Geral!$E$5,TReunioes[SDR],$A36,TReunioes[Status],"Cancelada")</f>
        <v>0</v>
      </c>
      <c r="F36" s="16">
        <f>COUNTIFS(TReunioes[Data da Reunião],"&gt;="&amp;Visão_Geral!$E$4,TReunioes[Data da Reunião],"&lt;="&amp;Visão_Geral!$E$5,TReunioes[SDR],$A36,TReunioes[Status],"Remanejada")</f>
        <v>0</v>
      </c>
      <c r="G36" s="16">
        <f>COUNTIFS(TPropostas[Data de Envio],"&gt;="&amp;Visão_Geral!$E$4,TPropostas[Data de Envio],"&lt;="&amp;Visão_Geral!$E$5,TPropostas[SDR],$A36)</f>
        <v>0</v>
      </c>
      <c r="H36" s="16">
        <f>COUNTIFS(TPropostas[Status],"Aprovada",TPropostas[Data de Retorno],"&gt;="&amp;Visão_Geral!$E$4,TPropostas[Data de Retorno],"&lt;="&amp;Visão_Geral!$E$5,TPropostas[SDR],$A36)</f>
        <v>0</v>
      </c>
    </row>
    <row r="37" ht="15" customHeight="1" spans="1:8" x14ac:dyDescent="0.25">
      <c r="A37" s="18" t="s">
        <v>47</v>
      </c>
      <c r="B37" s="20">
        <f>COUNTIFS(TLigacoes[Data],"&gt;="&amp;Visão_Geral!$E$4,TLigacoes[Data],"&lt;="&amp;Visão_Geral!$E$5,TLigacoes[Status],"Finalizada",TLigacoes[SDR],$A37)</f>
        <v>0</v>
      </c>
      <c r="C37" s="20">
        <f>COUNTIFS(TReunioes[Data da Reunião],"&gt;="&amp;Visão_Geral!$E$4,TReunioes[Data da Reunião],"&lt;="&amp;Visão_Geral!$E$5,TReunioes[SDR],$A37)</f>
        <v>0</v>
      </c>
      <c r="D37" s="20">
        <f>COUNTIFS(TReunioes[Data da Reunião],"&gt;="&amp;Visão_Geral!$E$4,TReunioes[Data da Reunião],"&lt;="&amp;Visão_Geral!$E$5,TReunioes[SDR],$A37,TReunioes[Status],"Realizada")</f>
        <v>0</v>
      </c>
      <c r="E37" s="20">
        <f>COUNTIFS(TReunioes[Data da Reunião],"&gt;="&amp;Visão_Geral!$E$4,TReunioes[Data da Reunião],"&lt;="&amp;Visão_Geral!$E$5,TReunioes[SDR],$A37,TReunioes[Status],"Cancelada")</f>
        <v>0</v>
      </c>
      <c r="F37" s="20">
        <f>COUNTIFS(TReunioes[Data da Reunião],"&gt;="&amp;Visão_Geral!$E$4,TReunioes[Data da Reunião],"&lt;="&amp;Visão_Geral!$E$5,TReunioes[SDR],$A37,TReunioes[Status],"Remanejada")</f>
        <v>0</v>
      </c>
      <c r="G37" s="20">
        <f>COUNTIFS(TPropostas[Data de Envio],"&gt;="&amp;Visão_Geral!$E$4,TPropostas[Data de Envio],"&lt;="&amp;Visão_Geral!$E$5,TPropostas[SDR],$A37)</f>
        <v>0</v>
      </c>
      <c r="H37" s="20">
        <f>COUNTIFS(TPropostas[Status],"Aprovada",TPropostas[Data de Retorno],"&gt;="&amp;Visão_Geral!$E$4,TPropostas[Data de Retorno],"&lt;="&amp;Visão_Geral!$E$5,TPropostas[SDR],$A37)</f>
        <v>0</v>
      </c>
    </row>
    <row r="38" ht="15" customHeight="1" spans="1:8" x14ac:dyDescent="0.25">
      <c r="A38" s="14" t="s">
        <v>48</v>
      </c>
      <c r="B38" s="16">
        <f>COUNTIFS(TLigacoes[Data],"&gt;="&amp;Visão_Geral!$E$4,TLigacoes[Data],"&lt;="&amp;Visão_Geral!$E$5,TLigacoes[Status],"Finalizada",TLigacoes[SDR],$A38)</f>
        <v>0</v>
      </c>
      <c r="C38" s="16">
        <f>COUNTIFS(TReunioes[Data da Reunião],"&gt;="&amp;Visão_Geral!$E$4,TReunioes[Data da Reunião],"&lt;="&amp;Visão_Geral!$E$5,TReunioes[SDR],$A38)</f>
        <v>0</v>
      </c>
      <c r="D38" s="16">
        <f>COUNTIFS(TReunioes[Data da Reunião],"&gt;="&amp;Visão_Geral!$E$4,TReunioes[Data da Reunião],"&lt;="&amp;Visão_Geral!$E$5,TReunioes[SDR],$A38,TReunioes[Status],"Realizada")</f>
        <v>0</v>
      </c>
      <c r="E38" s="16">
        <f>COUNTIFS(TReunioes[Data da Reunião],"&gt;="&amp;Visão_Geral!$E$4,TReunioes[Data da Reunião],"&lt;="&amp;Visão_Geral!$E$5,TReunioes[SDR],$A38,TReunioes[Status],"Cancelada")</f>
        <v>0</v>
      </c>
      <c r="F38" s="16">
        <f>COUNTIFS(TReunioes[Data da Reunião],"&gt;="&amp;Visão_Geral!$E$4,TReunioes[Data da Reunião],"&lt;="&amp;Visão_Geral!$E$5,TReunioes[SDR],$A38,TReunioes[Status],"Remanejada")</f>
        <v>0</v>
      </c>
      <c r="G38" s="16">
        <f>COUNTIFS(TPropostas[Data de Envio],"&gt;="&amp;Visão_Geral!$E$4,TPropostas[Data de Envio],"&lt;="&amp;Visão_Geral!$E$5,TPropostas[SDR],$A38)</f>
        <v>0</v>
      </c>
      <c r="H38" s="16">
        <f>COUNTIFS(TPropostas[Status],"Aprovada",TPropostas[Data de Retorno],"&gt;="&amp;Visão_Geral!$E$4,TPropostas[Data de Retorno],"&lt;="&amp;Visão_Geral!$E$5,TPropostas[SDR],$A38)</f>
        <v>0</v>
      </c>
    </row>
    <row r="39" ht="15" customHeight="1" spans="1:8" x14ac:dyDescent="0.25">
      <c r="A39" s="18" t="s">
        <v>49</v>
      </c>
      <c r="B39" s="20">
        <f>COUNTIFS(TLigacoes[Data],"&gt;="&amp;Visão_Geral!$E$4,TLigacoes[Data],"&lt;="&amp;Visão_Geral!$E$5,TLigacoes[Status],"Finalizada",TLigacoes[SDR],$A39)</f>
        <v>92</v>
      </c>
      <c r="C39" s="20">
        <f>COUNTIFS(TReunioes[Data da Reunião],"&gt;="&amp;Visão_Geral!$E$4,TReunioes[Data da Reunião],"&lt;="&amp;Visão_Geral!$E$5,TReunioes[SDR],$A39)</f>
        <v>11</v>
      </c>
      <c r="D39" s="20">
        <f>COUNTIFS(TReunioes[Data da Reunião],"&gt;="&amp;Visão_Geral!$E$4,TReunioes[Data da Reunião],"&lt;="&amp;Visão_Geral!$E$5,TReunioes[SDR],$A39,TReunioes[Status],"Realizada")</f>
        <v>6</v>
      </c>
      <c r="E39" s="20">
        <f>COUNTIFS(TReunioes[Data da Reunião],"&gt;="&amp;Visão_Geral!$E$4,TReunioes[Data da Reunião],"&lt;="&amp;Visão_Geral!$E$5,TReunioes[SDR],$A39,TReunioes[Status],"Cancelada")</f>
        <v>5</v>
      </c>
      <c r="F39" s="20">
        <f>COUNTIFS(TReunioes[Data da Reunião],"&gt;="&amp;Visão_Geral!$E$4,TReunioes[Data da Reunião],"&lt;="&amp;Visão_Geral!$E$5,TReunioes[SDR],$A39,TReunioes[Status],"Remanejada")</f>
        <v>0</v>
      </c>
      <c r="G39" s="20">
        <f>COUNTIFS(TPropostas[Data de Envio],"&gt;="&amp;Visão_Geral!$E$4,TPropostas[Data de Envio],"&lt;="&amp;Visão_Geral!$E$5,TPropostas[SDR],$A39)</f>
        <v>2</v>
      </c>
      <c r="H39" s="20">
        <f>COUNTIFS(TPropostas[Status],"Aprovada",TPropostas[Data de Retorno],"&gt;="&amp;Visão_Geral!$E$4,TPropostas[Data de Retorno],"&lt;="&amp;Visão_Geral!$E$5,TPropostas[SDR],$A39)</f>
        <v>0</v>
      </c>
    </row>
    <row r="40" ht="15" customHeight="1" spans="1:8" x14ac:dyDescent="0.25">
      <c r="A40" s="14" t="s">
        <v>50</v>
      </c>
      <c r="B40" s="16">
        <f>COUNTIFS(TLigacoes[Data],"&gt;="&amp;Visão_Geral!$E$4,TLigacoes[Data],"&lt;="&amp;Visão_Geral!$E$5,TLigacoes[Status],"Finalizada",TLigacoes[SDR],$A40)</f>
        <v>111</v>
      </c>
      <c r="C40" s="16">
        <f>COUNTIFS(TReunioes[Data da Reunião],"&gt;="&amp;Visão_Geral!$E$4,TReunioes[Data da Reunião],"&lt;="&amp;Visão_Geral!$E$5,TReunioes[SDR],$A40)</f>
        <v>7</v>
      </c>
      <c r="D40" s="16">
        <f>COUNTIFS(TReunioes[Data da Reunião],"&gt;="&amp;Visão_Geral!$E$4,TReunioes[Data da Reunião],"&lt;="&amp;Visão_Geral!$E$5,TReunioes[SDR],$A40,TReunioes[Status],"Realizada")</f>
        <v>2</v>
      </c>
      <c r="E40" s="16">
        <f>COUNTIFS(TReunioes[Data da Reunião],"&gt;="&amp;Visão_Geral!$E$4,TReunioes[Data da Reunião],"&lt;="&amp;Visão_Geral!$E$5,TReunioes[SDR],$A40,TReunioes[Status],"Cancelada")</f>
        <v>2</v>
      </c>
      <c r="F40" s="16">
        <f>COUNTIFS(TReunioes[Data da Reunião],"&gt;="&amp;Visão_Geral!$E$4,TReunioes[Data da Reunião],"&lt;="&amp;Visão_Geral!$E$5,TReunioes[SDR],$A40,TReunioes[Status],"Remanejada")</f>
        <v>0</v>
      </c>
      <c r="G40" s="16">
        <f>COUNTIFS(TPropostas[Data de Envio],"&gt;="&amp;Visão_Geral!$E$4,TPropostas[Data de Envio],"&lt;="&amp;Visão_Geral!$E$5,TPropostas[SDR],$A40)</f>
        <v>1</v>
      </c>
      <c r="H40" s="16">
        <f>COUNTIFS(TPropostas[Status],"Aprovada",TPropostas[Data de Retorno],"&gt;="&amp;Visão_Geral!$E$4,TPropostas[Data de Retorno],"&lt;="&amp;Visão_Geral!$E$5,TPropostas[SDR],$A40)</f>
        <v>0</v>
      </c>
    </row>
    <row r="41" ht="15" customHeight="1" spans="1:8" x14ac:dyDescent="0.25">
      <c r="A41" s="18" t="s">
        <v>51</v>
      </c>
      <c r="B41" s="20">
        <f>COUNTIFS(TLigacoes[Data],"&gt;="&amp;Visão_Geral!$E$4,TLigacoes[Data],"&lt;="&amp;Visão_Geral!$E$5,TLigacoes[Status],"Finalizada",TLigacoes[SDR],$A41)</f>
        <v>34</v>
      </c>
      <c r="C41" s="20">
        <f>COUNTIFS(TReunioes[Data da Reunião],"&gt;="&amp;Visão_Geral!$E$4,TReunioes[Data da Reunião],"&lt;="&amp;Visão_Geral!$E$5,TReunioes[SDR],$A41)</f>
        <v>5</v>
      </c>
      <c r="D41" s="20">
        <f>COUNTIFS(TReunioes[Data da Reunião],"&gt;="&amp;Visão_Geral!$E$4,TReunioes[Data da Reunião],"&lt;="&amp;Visão_Geral!$E$5,TReunioes[SDR],$A41,TReunioes[Status],"Realizada")</f>
        <v>3</v>
      </c>
      <c r="E41" s="20">
        <f>COUNTIFS(TReunioes[Data da Reunião],"&gt;="&amp;Visão_Geral!$E$4,TReunioes[Data da Reunião],"&lt;="&amp;Visão_Geral!$E$5,TReunioes[SDR],$A41,TReunioes[Status],"Cancelada")</f>
        <v>2</v>
      </c>
      <c r="F41" s="20">
        <f>COUNTIFS(TReunioes[Data da Reunião],"&gt;="&amp;Visão_Geral!$E$4,TReunioes[Data da Reunião],"&lt;="&amp;Visão_Geral!$E$5,TReunioes[SDR],$A41,TReunioes[Status],"Remanejada")</f>
        <v>0</v>
      </c>
      <c r="G41" s="20">
        <f>COUNTIFS(TPropostas[Data de Envio],"&gt;="&amp;Visão_Geral!$E$4,TPropostas[Data de Envio],"&lt;="&amp;Visão_Geral!$E$5,TPropostas[SDR],$A41)</f>
        <v>8</v>
      </c>
      <c r="H41" s="20">
        <f>COUNTIFS(TPropostas[Status],"Aprovada",TPropostas[Data de Retorno],"&gt;="&amp;Visão_Geral!$E$4,TPropostas[Data de Retorno],"&lt;="&amp;Visão_Geral!$E$5,TPropostas[SDR],$A41)</f>
        <v>2</v>
      </c>
    </row>
    <row r="42" ht="15" customHeight="1" spans="1:8" x14ac:dyDescent="0.25">
      <c r="A42" s="14" t="s">
        <v>52</v>
      </c>
      <c r="B42" s="16">
        <f>COUNTIFS(TLigacoes[Data],"&gt;="&amp;Visão_Geral!$E$4,TLigacoes[Data],"&lt;="&amp;Visão_Geral!$E$5,TLigacoes[Status],"Finalizada",TLigacoes[SDR],$A42)</f>
        <v>0</v>
      </c>
      <c r="C42" s="16">
        <f>COUNTIFS(TReunioes[Data da Reunião],"&gt;="&amp;Visão_Geral!$E$4,TReunioes[Data da Reunião],"&lt;="&amp;Visão_Geral!$E$5,TReunioes[SDR],$A42)</f>
        <v>0</v>
      </c>
      <c r="D42" s="16">
        <f>COUNTIFS(TReunioes[Data da Reunião],"&gt;="&amp;Visão_Geral!$E$4,TReunioes[Data da Reunião],"&lt;="&amp;Visão_Geral!$E$5,TReunioes[SDR],$A42,TReunioes[Status],"Realizada")</f>
        <v>0</v>
      </c>
      <c r="E42" s="16">
        <f>COUNTIFS(TReunioes[Data da Reunião],"&gt;="&amp;Visão_Geral!$E$4,TReunioes[Data da Reunião],"&lt;="&amp;Visão_Geral!$E$5,TReunioes[SDR],$A42,TReunioes[Status],"Cancelada")</f>
        <v>0</v>
      </c>
      <c r="F42" s="16">
        <f>COUNTIFS(TReunioes[Data da Reunião],"&gt;="&amp;Visão_Geral!$E$4,TReunioes[Data da Reunião],"&lt;="&amp;Visão_Geral!$E$5,TReunioes[SDR],$A42,TReunioes[Status],"Remanejada")</f>
        <v>0</v>
      </c>
      <c r="G42" s="16">
        <f>COUNTIFS(TPropostas[Data de Envio],"&gt;="&amp;Visão_Geral!$E$4,TPropostas[Data de Envio],"&lt;="&amp;Visão_Geral!$E$5,TPropostas[SDR],$A42)</f>
        <v>0</v>
      </c>
      <c r="H42" s="16">
        <f>COUNTIFS(TPropostas[Status],"Aprovada",TPropostas[Data de Retorno],"&gt;="&amp;Visão_Geral!$E$4,TPropostas[Data de Retorno],"&lt;="&amp;Visão_Geral!$E$5,TPropostas[SDR],$A42)</f>
        <v>0</v>
      </c>
    </row>
    <row r="43" ht="15" customHeight="1" spans="1:8" x14ac:dyDescent="0.25">
      <c r="A43" s="18" t="s">
        <v>53</v>
      </c>
      <c r="B43" s="20">
        <f>COUNTIFS(TLigacoes[Data],"&gt;="&amp;Visão_Geral!$E$4,TLigacoes[Data],"&lt;="&amp;Visão_Geral!$E$5,TLigacoes[Status],"Finalizada",TLigacoes[SDR],$A43)</f>
        <v>0</v>
      </c>
      <c r="C43" s="20">
        <f>COUNTIFS(TReunioes[Data da Reunião],"&gt;="&amp;Visão_Geral!$E$4,TReunioes[Data da Reunião],"&lt;="&amp;Visão_Geral!$E$5,TReunioes[SDR],$A43)</f>
        <v>0</v>
      </c>
      <c r="D43" s="20">
        <f>COUNTIFS(TReunioes[Data da Reunião],"&gt;="&amp;Visão_Geral!$E$4,TReunioes[Data da Reunião],"&lt;="&amp;Visão_Geral!$E$5,TReunioes[SDR],$A43,TReunioes[Status],"Realizada")</f>
        <v>0</v>
      </c>
      <c r="E43" s="20">
        <f>COUNTIFS(TReunioes[Data da Reunião],"&gt;="&amp;Visão_Geral!$E$4,TReunioes[Data da Reunião],"&lt;="&amp;Visão_Geral!$E$5,TReunioes[SDR],$A43,TReunioes[Status],"Cancelada")</f>
        <v>0</v>
      </c>
      <c r="F43" s="20">
        <f>COUNTIFS(TReunioes[Data da Reunião],"&gt;="&amp;Visão_Geral!$E$4,TReunioes[Data da Reunião],"&lt;="&amp;Visão_Geral!$E$5,TReunioes[SDR],$A43,TReunioes[Status],"Remanejada")</f>
        <v>0</v>
      </c>
      <c r="G43" s="20">
        <f>COUNTIFS(TPropostas[Data de Envio],"&gt;="&amp;Visão_Geral!$E$4,TPropostas[Data de Envio],"&lt;="&amp;Visão_Geral!$E$5,TPropostas[SDR],$A43)</f>
        <v>0</v>
      </c>
      <c r="H43" s="20">
        <f>COUNTIFS(TPropostas[Status],"Aprovada",TPropostas[Data de Retorno],"&gt;="&amp;Visão_Geral!$E$4,TPropostas[Data de Retorno],"&lt;="&amp;Visão_Geral!$E$5,TPropostas[SDR],$A43)</f>
        <v>0</v>
      </c>
    </row>
    <row r="44" ht="15" customHeight="1" spans="1:8" x14ac:dyDescent="0.25">
      <c r="A44" s="14" t="s">
        <v>54</v>
      </c>
      <c r="B44" s="16">
        <f>COUNTIFS(TLigacoes[Data],"&gt;="&amp;Visão_Geral!$E$4,TLigacoes[Data],"&lt;="&amp;Visão_Geral!$E$5,TLigacoes[Status],"Finalizada",TLigacoes[SDR],$A44)</f>
        <v>0</v>
      </c>
      <c r="C44" s="16">
        <f>COUNTIFS(TReunioes[Data da Reunião],"&gt;="&amp;Visão_Geral!$E$4,TReunioes[Data da Reunião],"&lt;="&amp;Visão_Geral!$E$5,TReunioes[SDR],$A44)</f>
        <v>0</v>
      </c>
      <c r="D44" s="16">
        <f>COUNTIFS(TReunioes[Data da Reunião],"&gt;="&amp;Visão_Geral!$E$4,TReunioes[Data da Reunião],"&lt;="&amp;Visão_Geral!$E$5,TReunioes[SDR],$A44,TReunioes[Status],"Realizada")</f>
        <v>0</v>
      </c>
      <c r="E44" s="16">
        <f>COUNTIFS(TReunioes[Data da Reunião],"&gt;="&amp;Visão_Geral!$E$4,TReunioes[Data da Reunião],"&lt;="&amp;Visão_Geral!$E$5,TReunioes[SDR],$A44,TReunioes[Status],"Cancelada")</f>
        <v>0</v>
      </c>
      <c r="F44" s="16">
        <f>COUNTIFS(TReunioes[Data da Reunião],"&gt;="&amp;Visão_Geral!$E$4,TReunioes[Data da Reunião],"&lt;="&amp;Visão_Geral!$E$5,TReunioes[SDR],$A44,TReunioes[Status],"Remanejada")</f>
        <v>0</v>
      </c>
      <c r="G44" s="16">
        <f>COUNTIFS(TPropostas[Data de Envio],"&gt;="&amp;Visão_Geral!$E$4,TPropostas[Data de Envio],"&lt;="&amp;Visão_Geral!$E$5,TPropostas[SDR],$A44)</f>
        <v>0</v>
      </c>
      <c r="H44" s="16">
        <f>COUNTIFS(TPropostas[Status],"Aprovada",TPropostas[Data de Retorno],"&gt;="&amp;Visão_Geral!$E$4,TPropostas[Data de Retorno],"&lt;="&amp;Visão_Geral!$E$5,TPropostas[SDR],$A44)</f>
        <v>0</v>
      </c>
    </row>
    <row r="45" ht="15" customHeight="1" spans="1:8" x14ac:dyDescent="0.25">
      <c r="A45" s="18" t="s">
        <v>55</v>
      </c>
      <c r="B45" s="20">
        <f>COUNTIFS(TLigacoes[Data],"&gt;="&amp;Visão_Geral!$E$4,TLigacoes[Data],"&lt;="&amp;Visão_Geral!$E$5,TLigacoes[Status],"Finalizada",TLigacoes[SDR],$A45)</f>
        <v>0</v>
      </c>
      <c r="C45" s="20">
        <f>COUNTIFS(TReunioes[Data da Reunião],"&gt;="&amp;Visão_Geral!$E$4,TReunioes[Data da Reunião],"&lt;="&amp;Visão_Geral!$E$5,TReunioes[SDR],$A45)</f>
        <v>0</v>
      </c>
      <c r="D45" s="20">
        <f>COUNTIFS(TReunioes[Data da Reunião],"&gt;="&amp;Visão_Geral!$E$4,TReunioes[Data da Reunião],"&lt;="&amp;Visão_Geral!$E$5,TReunioes[SDR],$A45,TReunioes[Status],"Realizada")</f>
        <v>0</v>
      </c>
      <c r="E45" s="20">
        <f>COUNTIFS(TReunioes[Data da Reunião],"&gt;="&amp;Visão_Geral!$E$4,TReunioes[Data da Reunião],"&lt;="&amp;Visão_Geral!$E$5,TReunioes[SDR],$A45,TReunioes[Status],"Cancelada")</f>
        <v>0</v>
      </c>
      <c r="F45" s="20">
        <f>COUNTIFS(TReunioes[Data da Reunião],"&gt;="&amp;Visão_Geral!$E$4,TReunioes[Data da Reunião],"&lt;="&amp;Visão_Geral!$E$5,TReunioes[SDR],$A45,TReunioes[Status],"Remanejada")</f>
        <v>0</v>
      </c>
      <c r="G45" s="20">
        <f>COUNTIFS(TPropostas[Data de Envio],"&gt;="&amp;Visão_Geral!$E$4,TPropostas[Data de Envio],"&lt;="&amp;Visão_Geral!$E$5,TPropostas[SDR],$A45)</f>
        <v>0</v>
      </c>
      <c r="H45" s="20">
        <f>COUNTIFS(TPropostas[Status],"Aprovada",TPropostas[Data de Retorno],"&gt;="&amp;Visão_Geral!$E$4,TPropostas[Data de Retorno],"&lt;="&amp;Visão_Geral!$E$5,TPropostas[SDR],$A45)</f>
        <v>0</v>
      </c>
    </row>
    <row r="46" ht="15" customHeight="1" spans="1:8" x14ac:dyDescent="0.25">
      <c r="A46" s="23"/>
      <c r="B46" s="24"/>
      <c r="C46" s="24"/>
      <c r="D46" s="24"/>
      <c r="E46" s="24"/>
      <c r="F46" s="24"/>
      <c r="G46" s="24"/>
      <c r="H46" s="24"/>
    </row>
    <row r="47" ht="15" customHeight="1" spans="1:8" x14ac:dyDescent="0.25">
      <c r="A47" s="23"/>
      <c r="B47" s="24"/>
      <c r="C47" s="24"/>
      <c r="D47" s="24"/>
      <c r="E47" s="24"/>
      <c r="F47" s="24"/>
      <c r="G47" s="24"/>
      <c r="H47" s="24"/>
    </row>
    <row r="48" ht="15" customHeight="1" spans="1:8" x14ac:dyDescent="0.25">
      <c r="A48" s="23"/>
      <c r="B48" s="24"/>
      <c r="C48" s="24"/>
      <c r="D48" s="24"/>
      <c r="E48" s="24"/>
      <c r="F48" s="24"/>
      <c r="G48" s="24"/>
      <c r="H48" s="24"/>
    </row>
    <row r="49" ht="15" customHeight="1" spans="1:8" x14ac:dyDescent="0.25">
      <c r="A49" s="23"/>
      <c r="B49" s="24"/>
      <c r="C49" s="24"/>
      <c r="D49" s="24"/>
      <c r="E49" s="24"/>
      <c r="F49" s="24"/>
      <c r="G49" s="24"/>
      <c r="H49" s="24"/>
    </row>
    <row r="50" ht="15" customHeight="1" spans="1:8" x14ac:dyDescent="0.25">
      <c r="A50" s="23"/>
      <c r="B50" s="24"/>
      <c r="C50" s="24"/>
      <c r="D50" s="24"/>
      <c r="E50" s="24"/>
      <c r="F50" s="24"/>
      <c r="G50" s="24"/>
      <c r="H50" s="24"/>
    </row>
    <row r="52" ht="15" customHeight="1" spans="1:1" x14ac:dyDescent="0.25">
      <c r="A52" s="8" t="s">
        <v>56</v>
      </c>
    </row>
    <row r="53" ht="24" customHeight="1" spans="1:3" x14ac:dyDescent="0.25">
      <c r="A53" s="13" t="s">
        <v>57</v>
      </c>
      <c r="B53" s="13" t="s">
        <v>58</v>
      </c>
      <c r="C53" s="13" t="s">
        <v>59</v>
      </c>
    </row>
    <row r="54" ht="19.5" customHeight="1" spans="1:3" x14ac:dyDescent="0.25">
      <c r="A54" s="14" t="s">
        <v>60</v>
      </c>
      <c r="B54" s="16">
        <f>COUNTIFS(TLigacoes[Data],"&gt;="&amp;Visão_Geral!$E$4,TLigacoes[Data],"&lt;="&amp;Visão_Geral!$E$5,TLigacoes[Status],"Finalizada",TLigacoes[Tabulação],$A54)</f>
        <v>134</v>
      </c>
      <c r="C54" s="17">
        <f>IFERROR($B54/(COUNTIFS(TLigacoes[Data],"&gt;="&amp;Visão_Geral!$E$4,TLigacoes[Data],"&lt;="&amp;Visão_Geral!$E$5,TLigacoes[Status],"Finalizada")),0)</f>
        <v>0.5654008438818565</v>
      </c>
    </row>
    <row r="55" ht="19.5" customHeight="1" spans="1:3" x14ac:dyDescent="0.25">
      <c r="A55" s="18" t="s">
        <v>61</v>
      </c>
      <c r="B55" s="20">
        <f>COUNTIFS(TLigacoes[Data],"&gt;="&amp;Visão_Geral!$E$4,TLigacoes[Data],"&lt;="&amp;Visão_Geral!$E$5,TLigacoes[Status],"Finalizada",TLigacoes[Tabulação],$A55)</f>
        <v>64</v>
      </c>
      <c r="C55" s="21">
        <f>IFERROR($B55/(COUNTIFS(TLigacoes[Data],"&gt;="&amp;Visão_Geral!$E$4,TLigacoes[Data],"&lt;="&amp;Visão_Geral!$E$5,TLigacoes[Status],"Finalizada")),0)</f>
        <v>0.270042194092827</v>
      </c>
    </row>
    <row r="56" ht="19.5" customHeight="1" spans="1:3" x14ac:dyDescent="0.25">
      <c r="A56" s="14" t="s">
        <v>62</v>
      </c>
      <c r="B56" s="16">
        <f>COUNTIFS(TLigacoes[Data],"&gt;="&amp;Visão_Geral!$E$4,TLigacoes[Data],"&lt;="&amp;Visão_Geral!$E$5,TLigacoes[Status],"Finalizada",TLigacoes[Tabulação],$A56)</f>
        <v>4</v>
      </c>
      <c r="C56" s="17">
        <f>IFERROR($B56/(COUNTIFS(TLigacoes[Data],"&gt;="&amp;Visão_Geral!$E$4,TLigacoes[Data],"&lt;="&amp;Visão_Geral!$E$5,TLigacoes[Status],"Finalizada")),0)</f>
        <v>0.016877637130801686</v>
      </c>
    </row>
    <row r="57" ht="19.5" customHeight="1" spans="1:3" x14ac:dyDescent="0.25">
      <c r="A57" s="18" t="s">
        <v>63</v>
      </c>
      <c r="B57" s="20">
        <f>COUNTIFS(TLigacoes[Data],"&gt;="&amp;Visão_Geral!$E$4,TLigacoes[Data],"&lt;="&amp;Visão_Geral!$E$5,TLigacoes[Status],"Finalizada",TLigacoes[Tabulação],$A57)</f>
        <v>11</v>
      </c>
      <c r="C57" s="21">
        <f>IFERROR($B57/(COUNTIFS(TLigacoes[Data],"&gt;="&amp;Visão_Geral!$E$4,TLigacoes[Data],"&lt;="&amp;Visão_Geral!$E$5,TLigacoes[Status],"Finalizada")),0)</f>
        <v>0.046413502109704644</v>
      </c>
    </row>
    <row r="58" ht="19.5" customHeight="1" spans="1:3" x14ac:dyDescent="0.25">
      <c r="A58" s="14" t="s">
        <v>64</v>
      </c>
      <c r="B58" s="16">
        <f>COUNTIFS(TLigacoes[Data],"&gt;="&amp;Visão_Geral!$E$4,TLigacoes[Data],"&lt;="&amp;Visão_Geral!$E$5,TLigacoes[Status],"Finalizada",TLigacoes[Tabulação],$A58)</f>
        <v>18</v>
      </c>
      <c r="C58" s="17">
        <f>IFERROR($B58/(COUNTIFS(TLigacoes[Data],"&gt;="&amp;Visão_Geral!$E$4,TLigacoes[Data],"&lt;="&amp;Visão_Geral!$E$5,TLigacoes[Status],"Finalizada")),0)</f>
        <v>0.0759493670886076</v>
      </c>
    </row>
    <row r="59" ht="19.5" customHeight="1" spans="1:3" x14ac:dyDescent="0.25">
      <c r="A59" s="18" t="s">
        <v>65</v>
      </c>
      <c r="B59" s="20">
        <f>COUNTIFS(TLigacoes[Data],"&gt;="&amp;Visão_Geral!$E$4,TLigacoes[Data],"&lt;="&amp;Visão_Geral!$E$5,TLigacoes[Status],"Finalizada",TLigacoes[Tabulação],$A59)</f>
        <v>4</v>
      </c>
      <c r="C59" s="21">
        <f>IFERROR($B59/(COUNTIFS(TLigacoes[Data],"&gt;="&amp;Visão_Geral!$E$4,TLigacoes[Data],"&lt;="&amp;Visão_Geral!$E$5,TLigacoes[Status],"Finalizada")),0)</f>
        <v>0.016877637130801686</v>
      </c>
    </row>
    <row r="60" ht="19.5" customHeight="1" spans="1:3" x14ac:dyDescent="0.25">
      <c r="A60" s="14" t="s">
        <v>66</v>
      </c>
      <c r="B60" s="16">
        <f>COUNTIFS(TLigacoes[Data],"&gt;="&amp;Visão_Geral!$E$4,TLigacoes[Data],"&lt;="&amp;Visão_Geral!$E$5,TLigacoes[Status],"Finalizada",TLigacoes[Tabulação],$A60)</f>
        <v>2</v>
      </c>
      <c r="C60" s="17">
        <f>IFERROR($B60/(COUNTIFS(TLigacoes[Data],"&gt;="&amp;Visão_Geral!$E$4,TLigacoes[Data],"&lt;="&amp;Visão_Geral!$E$5,TLigacoes[Status],"Finalizada")),0)</f>
        <v>0.008438818565400843</v>
      </c>
    </row>
    <row r="61" ht="19.5" customHeight="1" spans="1:3" x14ac:dyDescent="0.25">
      <c r="A61" s="18" t="s">
        <v>67</v>
      </c>
      <c r="B61" s="20">
        <f>COUNTIFS(TLigacoes[Data],"&gt;="&amp;Visão_Geral!$E$4,TLigacoes[Data],"&lt;="&amp;Visão_Geral!$E$5,TLigacoes[Status],"Finalizada",TLigacoes[Tabulação],$A61)</f>
        <v>0</v>
      </c>
      <c r="C61" s="21">
        <f>IFERROR($B61/(COUNTIFS(TLigacoes[Data],"&gt;="&amp;Visão_Geral!$E$4,TLigacoes[Data],"&lt;="&amp;Visão_Geral!$E$5,TLigacoes[Status],"Finalizada")),0)</f>
        <v>0</v>
      </c>
    </row>
  </sheetData>
  <mergeCells count="30">
    <mergeCell ref="A1:H1"/>
    <mergeCell ref="A2:H2"/>
    <mergeCell ref="A8:B8"/>
    <mergeCell ref="C8:D8"/>
    <mergeCell ref="E8:F8"/>
    <mergeCell ref="G8:H8"/>
    <mergeCell ref="A9:B9"/>
    <mergeCell ref="C9:D9"/>
    <mergeCell ref="E9:F9"/>
    <mergeCell ref="G9:H9"/>
    <mergeCell ref="A11:B11"/>
    <mergeCell ref="C11:D11"/>
    <mergeCell ref="E11:F11"/>
    <mergeCell ref="A12:B12"/>
    <mergeCell ref="C12:D12"/>
    <mergeCell ref="E12:F12"/>
    <mergeCell ref="A17:B17"/>
    <mergeCell ref="C17:D17"/>
    <mergeCell ref="E17:F17"/>
    <mergeCell ref="G17:H17"/>
    <mergeCell ref="A18:B18"/>
    <mergeCell ref="C18:D18"/>
    <mergeCell ref="E18:F18"/>
    <mergeCell ref="G18:H18"/>
    <mergeCell ref="A20:B20"/>
    <mergeCell ref="C20:D20"/>
    <mergeCell ref="E20:F20"/>
    <mergeCell ref="A21:B21"/>
    <mergeCell ref="C21:D21"/>
    <mergeCell ref="E21:F21"/>
  </mergeCells>
  <conditionalFormatting sqref="E26:E28">
    <cfRule type="dataBar" priority="2">
      <dataBar>
        <cfvo type="num" val="0"/>
        <cfvo type="num" val="1"/>
        <color rgb="FF1B2A4A"/>
      </dataBar>
      <extLst>
        <ext xmlns:x14="http://schemas.microsoft.com/office/spreadsheetml/2009/9/main" uri="{B025F937-C7B1-47D3-B67F-A62EFF666E3E}">
          <x14:id>{E4B32E64-19EF-4DB5-B920-74D84D58D640}</x14:id>
        </ext>
      </extLst>
    </cfRule>
  </conditionalFormatting>
  <dataValidations count="1">
    <dataValidation type="list" sqref="B4">
      <formula1>ListaTipoVisao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17"/>
  <sheetViews>
    <sheetView workbookViewId="0" zoomScale="100" zoomScaleNormal="100">
      <pane ySplit="16" topLeftCell="A44" activePane="bottomLeft" state="frozen"/>
      <selection pane="bottomLeft" activeCell="B10" sqref="B10"/>
    </sheetView>
  </sheetViews>
  <sheetFormatPr defaultRowHeight="15" outlineLevelRow="0" outlineLevelCol="0" x14ac:dyDescent="0" defaultColWidth="8.7109375"/>
  <cols>
    <col min="1" max="1" width="10" customWidth="1"/>
    <col min="3" max="3" width="26" customWidth="1"/>
    <col min="4" max="4" width="17" customWidth="1"/>
    <col min="5" max="7" width="10" customWidth="1"/>
    <col min="11" max="11" width="10" customWidth="1"/>
    <col min="12" max="12" width="11" customWidth="1"/>
  </cols>
  <sheetData>
    <row r="1" ht="18.6" customHeight="1" spans="1:6" x14ac:dyDescent="0.25">
      <c r="A1" s="25" t="s">
        <v>68</v>
      </c>
      <c r="B1" s="25"/>
      <c r="C1" s="25"/>
      <c r="D1" s="25"/>
      <c r="E1" s="25"/>
      <c r="F1" s="25"/>
    </row>
    <row r="2" spans="1:8" x14ac:dyDescent="0.25">
      <c r="A2" s="26" t="s">
        <v>69</v>
      </c>
      <c r="B2" s="26"/>
      <c r="C2" s="26"/>
      <c r="D2" s="26"/>
      <c r="E2" s="26"/>
      <c r="F2" s="26"/>
      <c r="G2" s="26"/>
      <c r="H2" s="26"/>
    </row>
    <row r="4" spans="1:5" x14ac:dyDescent="0.25">
      <c r="A4" s="8" t="s">
        <v>70</v>
      </c>
      <c r="B4" s="8"/>
      <c r="C4" s="8"/>
      <c r="D4" s="8"/>
      <c r="E4" s="8"/>
    </row>
    <row r="5" ht="19.5" customHeight="1" spans="1:5" x14ac:dyDescent="0.25">
      <c r="A5" s="27" t="s">
        <v>71</v>
      </c>
      <c r="B5" s="28" t="s">
        <v>31</v>
      </c>
      <c r="C5" s="28" t="s">
        <v>32</v>
      </c>
      <c r="D5" s="28" t="s">
        <v>72</v>
      </c>
      <c r="E5" s="28" t="s">
        <v>33</v>
      </c>
    </row>
    <row r="6" spans="1:5" x14ac:dyDescent="0.25">
      <c r="A6" s="29" t="s">
        <v>73</v>
      </c>
      <c r="B6" s="30">
        <v>191</v>
      </c>
      <c r="C6" s="30">
        <v>100</v>
      </c>
      <c r="D6" s="30">
        <v>46</v>
      </c>
      <c r="E6" s="30">
        <v>6</v>
      </c>
    </row>
    <row r="7" spans="1:5" x14ac:dyDescent="0.25">
      <c r="A7" s="29" t="s">
        <v>74</v>
      </c>
      <c r="B7" s="30">
        <v>312</v>
      </c>
      <c r="C7" s="30">
        <v>132</v>
      </c>
      <c r="D7" s="30">
        <v>82</v>
      </c>
      <c r="E7" s="30">
        <v>13</v>
      </c>
    </row>
    <row r="8" spans="1:5" x14ac:dyDescent="0.25">
      <c r="A8" s="29" t="s">
        <v>75</v>
      </c>
      <c r="B8" s="30">
        <v>351</v>
      </c>
      <c r="C8" s="30">
        <v>207</v>
      </c>
      <c r="D8" s="30">
        <v>134</v>
      </c>
      <c r="E8" s="30">
        <v>25</v>
      </c>
    </row>
    <row r="9" spans="1:5" x14ac:dyDescent="0.25">
      <c r="A9" s="29" t="s">
        <v>76</v>
      </c>
      <c r="B9" s="30">
        <v>288</v>
      </c>
      <c r="C9" s="30">
        <v>113</v>
      </c>
      <c r="D9" s="30">
        <v>94</v>
      </c>
      <c r="E9" s="30">
        <v>11</v>
      </c>
    </row>
    <row r="10" spans="1:5" x14ac:dyDescent="0.25">
      <c r="A10" s="29" t="s">
        <v>77</v>
      </c>
      <c r="B10" s="30">
        <v>374</v>
      </c>
      <c r="C10" s="30">
        <v>175</v>
      </c>
      <c r="D10" s="30">
        <v>131</v>
      </c>
      <c r="E10" s="30">
        <v>33</v>
      </c>
    </row>
    <row r="11" spans="1:5" x14ac:dyDescent="0.25">
      <c r="A11" s="29" t="s">
        <v>78</v>
      </c>
      <c r="B11" s="30">
        <v>245</v>
      </c>
      <c r="C11" s="30">
        <v>124</v>
      </c>
      <c r="D11" s="30">
        <v>103</v>
      </c>
      <c r="E11" s="30">
        <v>28</v>
      </c>
    </row>
    <row r="12" spans="1:5" x14ac:dyDescent="0.25">
      <c r="A12" s="31" t="s">
        <v>79</v>
      </c>
      <c r="B12" s="32">
        <v>1761</v>
      </c>
      <c r="C12" s="32">
        <v>851</v>
      </c>
      <c r="D12" s="32">
        <v>590</v>
      </c>
      <c r="E12" s="32">
        <v>116</v>
      </c>
    </row>
    <row r="15" spans="1:8" x14ac:dyDescent="0.25">
      <c r="A15" s="8" t="s">
        <v>80</v>
      </c>
      <c r="B15" s="8"/>
      <c r="C15" s="8"/>
      <c r="D15" s="8"/>
      <c r="E15" s="8"/>
      <c r="F15" s="8"/>
      <c r="G15" s="8"/>
      <c r="H15" s="8"/>
    </row>
    <row r="16" ht="30" customHeight="1" spans="1:12" x14ac:dyDescent="0.25">
      <c r="A16" s="33" t="s">
        <v>71</v>
      </c>
      <c r="B16" s="33" t="s">
        <v>81</v>
      </c>
      <c r="C16" s="33" t="s">
        <v>36</v>
      </c>
      <c r="D16" s="33" t="s">
        <v>82</v>
      </c>
      <c r="E16" s="33" t="s">
        <v>83</v>
      </c>
      <c r="F16" s="33" t="s">
        <v>84</v>
      </c>
      <c r="G16" s="33" t="s">
        <v>28</v>
      </c>
      <c r="H16" s="33" t="s">
        <v>85</v>
      </c>
      <c r="I16" s="33" t="s">
        <v>86</v>
      </c>
      <c r="J16" s="33" t="s">
        <v>87</v>
      </c>
      <c r="K16" s="33" t="s">
        <v>88</v>
      </c>
      <c r="L16" s="33" t="s">
        <v>89</v>
      </c>
    </row>
    <row r="17" spans="1:12" x14ac:dyDescent="0.25">
      <c r="A17" s="30" t="s">
        <v>73</v>
      </c>
      <c r="B17" s="30" t="s">
        <v>90</v>
      </c>
      <c r="C17" s="29" t="s">
        <v>91</v>
      </c>
      <c r="D17" s="34">
        <v>45962</v>
      </c>
      <c r="E17" s="30" t="s">
        <v>92</v>
      </c>
      <c r="F17" s="30">
        <v>19</v>
      </c>
      <c r="G17" s="30">
        <v>11</v>
      </c>
      <c r="H17" s="30">
        <v>9</v>
      </c>
      <c r="I17" s="30">
        <v>0</v>
      </c>
      <c r="J17" s="30">
        <v>60</v>
      </c>
      <c r="K17" s="30">
        <v>32</v>
      </c>
      <c r="L17" s="30" t="s">
        <v>93</v>
      </c>
    </row>
    <row r="18" spans="1:12" x14ac:dyDescent="0.25">
      <c r="A18" s="30" t="s">
        <v>73</v>
      </c>
      <c r="B18" s="30" t="s">
        <v>90</v>
      </c>
      <c r="C18" s="29" t="s">
        <v>94</v>
      </c>
      <c r="D18" s="34">
        <v>46023</v>
      </c>
      <c r="E18" s="30" t="s">
        <v>92</v>
      </c>
      <c r="F18" s="30">
        <v>11</v>
      </c>
      <c r="G18" s="30">
        <v>0</v>
      </c>
      <c r="H18" s="30">
        <v>0</v>
      </c>
      <c r="I18" s="30">
        <v>0</v>
      </c>
      <c r="J18" s="30">
        <v>60</v>
      </c>
      <c r="K18" s="30">
        <v>32</v>
      </c>
      <c r="L18" s="30" t="s">
        <v>95</v>
      </c>
    </row>
    <row r="19" spans="1:12" x14ac:dyDescent="0.25">
      <c r="A19" s="30" t="s">
        <v>73</v>
      </c>
      <c r="B19" s="30" t="s">
        <v>90</v>
      </c>
      <c r="C19" s="29" t="s">
        <v>96</v>
      </c>
      <c r="D19" s="34">
        <v>45992</v>
      </c>
      <c r="E19" s="30" t="s">
        <v>97</v>
      </c>
      <c r="F19" s="30">
        <v>5</v>
      </c>
      <c r="G19" s="30">
        <v>3</v>
      </c>
      <c r="H19" s="30">
        <v>0</v>
      </c>
      <c r="I19" s="30">
        <v>0</v>
      </c>
      <c r="J19" s="30">
        <v>60</v>
      </c>
      <c r="K19" s="30">
        <v>32</v>
      </c>
      <c r="L19" s="30" t="s">
        <v>93</v>
      </c>
    </row>
    <row r="20" spans="1:12" x14ac:dyDescent="0.25">
      <c r="A20" s="30" t="s">
        <v>73</v>
      </c>
      <c r="B20" s="30" t="s">
        <v>90</v>
      </c>
      <c r="C20" s="29" t="s">
        <v>98</v>
      </c>
      <c r="D20" s="30"/>
      <c r="E20" s="30" t="s">
        <v>99</v>
      </c>
      <c r="F20" s="30">
        <v>8</v>
      </c>
      <c r="G20" s="30">
        <v>10</v>
      </c>
      <c r="H20" s="30">
        <v>5</v>
      </c>
      <c r="I20" s="30">
        <v>0</v>
      </c>
      <c r="J20" s="30">
        <v>60</v>
      </c>
      <c r="K20" s="30">
        <v>32</v>
      </c>
      <c r="L20" s="30" t="s">
        <v>93</v>
      </c>
    </row>
    <row r="21" spans="1:12" x14ac:dyDescent="0.25">
      <c r="A21" s="30" t="s">
        <v>73</v>
      </c>
      <c r="B21" s="30" t="s">
        <v>90</v>
      </c>
      <c r="C21" s="29" t="s">
        <v>100</v>
      </c>
      <c r="D21" s="30"/>
      <c r="E21" s="30" t="s">
        <v>101</v>
      </c>
      <c r="F21" s="30">
        <v>14</v>
      </c>
      <c r="G21" s="30">
        <v>4</v>
      </c>
      <c r="H21" s="30">
        <v>0</v>
      </c>
      <c r="I21" s="30">
        <v>0</v>
      </c>
      <c r="J21" s="30">
        <v>60</v>
      </c>
      <c r="K21" s="30">
        <v>32</v>
      </c>
      <c r="L21" s="30" t="s">
        <v>93</v>
      </c>
    </row>
    <row r="22" spans="1:12" x14ac:dyDescent="0.25">
      <c r="A22" s="30" t="s">
        <v>73</v>
      </c>
      <c r="B22" s="30" t="s">
        <v>90</v>
      </c>
      <c r="C22" s="29" t="s">
        <v>102</v>
      </c>
      <c r="D22" s="30"/>
      <c r="E22" s="30" t="s">
        <v>103</v>
      </c>
      <c r="F22" s="30">
        <v>15</v>
      </c>
      <c r="G22" s="30">
        <v>2</v>
      </c>
      <c r="H22" s="30">
        <v>0</v>
      </c>
      <c r="I22" s="30">
        <v>0</v>
      </c>
      <c r="J22" s="30">
        <v>60</v>
      </c>
      <c r="K22" s="30">
        <v>32</v>
      </c>
      <c r="L22" s="30" t="s">
        <v>93</v>
      </c>
    </row>
    <row r="23" spans="1:12" x14ac:dyDescent="0.25">
      <c r="A23" s="30" t="s">
        <v>73</v>
      </c>
      <c r="B23" s="30" t="s">
        <v>90</v>
      </c>
      <c r="C23" s="29" t="s">
        <v>104</v>
      </c>
      <c r="D23" s="34">
        <v>45778</v>
      </c>
      <c r="E23" s="30" t="s">
        <v>103</v>
      </c>
      <c r="F23" s="30">
        <v>17</v>
      </c>
      <c r="G23" s="30">
        <v>4</v>
      </c>
      <c r="H23" s="30">
        <v>2</v>
      </c>
      <c r="I23" s="30">
        <v>0</v>
      </c>
      <c r="J23" s="30">
        <v>60</v>
      </c>
      <c r="K23" s="30">
        <v>32</v>
      </c>
      <c r="L23" s="30" t="s">
        <v>95</v>
      </c>
    </row>
    <row r="24" spans="1:12" x14ac:dyDescent="0.25">
      <c r="A24" s="30" t="s">
        <v>73</v>
      </c>
      <c r="B24" s="30" t="s">
        <v>90</v>
      </c>
      <c r="C24" s="29" t="s">
        <v>105</v>
      </c>
      <c r="D24" s="30"/>
      <c r="E24" s="30" t="s">
        <v>103</v>
      </c>
      <c r="F24" s="30">
        <v>11</v>
      </c>
      <c r="G24" s="30">
        <v>3</v>
      </c>
      <c r="H24" s="30">
        <v>0</v>
      </c>
      <c r="I24" s="30">
        <v>0</v>
      </c>
      <c r="J24" s="30">
        <v>60</v>
      </c>
      <c r="K24" s="30">
        <v>32</v>
      </c>
      <c r="L24" s="30" t="s">
        <v>93</v>
      </c>
    </row>
    <row r="25" spans="1:12" x14ac:dyDescent="0.25">
      <c r="A25" s="30" t="s">
        <v>73</v>
      </c>
      <c r="B25" s="30" t="s">
        <v>90</v>
      </c>
      <c r="C25" s="29" t="s">
        <v>106</v>
      </c>
      <c r="D25" s="34">
        <v>45992</v>
      </c>
      <c r="E25" s="30" t="s">
        <v>101</v>
      </c>
      <c r="F25" s="30">
        <v>20</v>
      </c>
      <c r="G25" s="30">
        <v>1</v>
      </c>
      <c r="H25" s="30">
        <v>6</v>
      </c>
      <c r="I25" s="30">
        <v>0</v>
      </c>
      <c r="J25" s="30">
        <v>60</v>
      </c>
      <c r="K25" s="30">
        <v>32</v>
      </c>
      <c r="L25" s="30" t="s">
        <v>95</v>
      </c>
    </row>
    <row r="26" spans="1:12" x14ac:dyDescent="0.25">
      <c r="A26" s="30" t="s">
        <v>73</v>
      </c>
      <c r="B26" s="30" t="s">
        <v>90</v>
      </c>
      <c r="C26" s="29" t="s">
        <v>107</v>
      </c>
      <c r="D26" s="34">
        <v>45139</v>
      </c>
      <c r="E26" s="30" t="s">
        <v>101</v>
      </c>
      <c r="F26" s="30">
        <v>0</v>
      </c>
      <c r="G26" s="30">
        <v>1</v>
      </c>
      <c r="H26" s="30">
        <v>1</v>
      </c>
      <c r="I26" s="30">
        <v>1</v>
      </c>
      <c r="J26" s="30">
        <v>60</v>
      </c>
      <c r="K26" s="30">
        <v>32</v>
      </c>
      <c r="L26" s="30" t="s">
        <v>95</v>
      </c>
    </row>
    <row r="27" spans="1:12" x14ac:dyDescent="0.25">
      <c r="A27" s="30" t="s">
        <v>73</v>
      </c>
      <c r="B27" s="30" t="s">
        <v>90</v>
      </c>
      <c r="C27" s="29" t="s">
        <v>108</v>
      </c>
      <c r="D27" s="34">
        <v>45627</v>
      </c>
      <c r="E27" s="30" t="s">
        <v>109</v>
      </c>
      <c r="F27" s="30">
        <v>3</v>
      </c>
      <c r="G27" s="30">
        <v>3</v>
      </c>
      <c r="H27" s="30">
        <v>0</v>
      </c>
      <c r="I27" s="30">
        <v>0</v>
      </c>
      <c r="J27" s="30">
        <v>60</v>
      </c>
      <c r="K27" s="30">
        <v>32</v>
      </c>
      <c r="L27" s="30" t="s">
        <v>95</v>
      </c>
    </row>
    <row r="28" spans="1:12" x14ac:dyDescent="0.25">
      <c r="A28" s="30" t="s">
        <v>73</v>
      </c>
      <c r="B28" s="30" t="s">
        <v>90</v>
      </c>
      <c r="C28" s="29" t="s">
        <v>110</v>
      </c>
      <c r="D28" s="34">
        <v>45870</v>
      </c>
      <c r="E28" s="30" t="s">
        <v>109</v>
      </c>
      <c r="F28" s="30">
        <v>19</v>
      </c>
      <c r="G28" s="30">
        <v>23</v>
      </c>
      <c r="H28" s="30">
        <v>4</v>
      </c>
      <c r="I28" s="30">
        <v>0</v>
      </c>
      <c r="J28" s="30">
        <v>60</v>
      </c>
      <c r="K28" s="30">
        <v>32</v>
      </c>
      <c r="L28" s="30" t="s">
        <v>95</v>
      </c>
    </row>
    <row r="29" spans="1:12" x14ac:dyDescent="0.25">
      <c r="A29" s="30" t="s">
        <v>73</v>
      </c>
      <c r="B29" s="30" t="s">
        <v>90</v>
      </c>
      <c r="C29" s="29" t="s">
        <v>111</v>
      </c>
      <c r="D29" s="34">
        <v>45962</v>
      </c>
      <c r="E29" s="30" t="s">
        <v>109</v>
      </c>
      <c r="F29" s="30">
        <v>25</v>
      </c>
      <c r="G29" s="30">
        <v>14</v>
      </c>
      <c r="H29" s="30">
        <v>7</v>
      </c>
      <c r="I29" s="30">
        <v>0</v>
      </c>
      <c r="J29" s="30">
        <v>60</v>
      </c>
      <c r="K29" s="30">
        <v>32</v>
      </c>
      <c r="L29" s="30" t="s">
        <v>95</v>
      </c>
    </row>
    <row r="30" spans="1:12" x14ac:dyDescent="0.25">
      <c r="A30" s="30" t="s">
        <v>73</v>
      </c>
      <c r="B30" s="30" t="s">
        <v>90</v>
      </c>
      <c r="C30" s="29" t="s">
        <v>112</v>
      </c>
      <c r="D30" s="34">
        <v>45931</v>
      </c>
      <c r="E30" s="30" t="s">
        <v>109</v>
      </c>
      <c r="F30" s="30">
        <v>24</v>
      </c>
      <c r="G30" s="30">
        <v>20</v>
      </c>
      <c r="H30" s="30">
        <v>11</v>
      </c>
      <c r="I30" s="30">
        <v>1</v>
      </c>
      <c r="J30" s="30">
        <v>60</v>
      </c>
      <c r="K30" s="30">
        <v>32</v>
      </c>
      <c r="L30" s="30" t="s">
        <v>95</v>
      </c>
    </row>
    <row r="31" spans="1:12" x14ac:dyDescent="0.25">
      <c r="A31" s="30" t="s">
        <v>73</v>
      </c>
      <c r="B31" s="30" t="s">
        <v>90</v>
      </c>
      <c r="C31" s="29" t="s">
        <v>113</v>
      </c>
      <c r="D31" s="30"/>
      <c r="E31" s="30" t="s">
        <v>109</v>
      </c>
      <c r="F31" s="30">
        <v>0</v>
      </c>
      <c r="G31" s="30">
        <v>1</v>
      </c>
      <c r="H31" s="30">
        <v>1</v>
      </c>
      <c r="I31" s="30">
        <v>4</v>
      </c>
      <c r="J31" s="30"/>
      <c r="K31" s="30"/>
      <c r="L31" s="30" t="s">
        <v>95</v>
      </c>
    </row>
    <row r="32" spans="1:12" x14ac:dyDescent="0.25">
      <c r="A32" s="30" t="s">
        <v>74</v>
      </c>
      <c r="B32" s="30" t="s">
        <v>90</v>
      </c>
      <c r="C32" s="29" t="s">
        <v>91</v>
      </c>
      <c r="D32" s="34">
        <v>45962</v>
      </c>
      <c r="E32" s="30" t="s">
        <v>92</v>
      </c>
      <c r="F32" s="30">
        <v>42</v>
      </c>
      <c r="G32" s="30">
        <v>14</v>
      </c>
      <c r="H32" s="30">
        <v>10</v>
      </c>
      <c r="I32" s="30">
        <v>0</v>
      </c>
      <c r="J32" s="30">
        <v>60</v>
      </c>
      <c r="K32" s="30">
        <v>32</v>
      </c>
      <c r="L32" s="30" t="s">
        <v>93</v>
      </c>
    </row>
    <row r="33" spans="1:12" x14ac:dyDescent="0.25">
      <c r="A33" s="30" t="s">
        <v>74</v>
      </c>
      <c r="B33" s="30" t="s">
        <v>90</v>
      </c>
      <c r="C33" s="29" t="s">
        <v>94</v>
      </c>
      <c r="D33" s="34">
        <v>46023</v>
      </c>
      <c r="E33" s="30" t="s">
        <v>92</v>
      </c>
      <c r="F33" s="30">
        <v>25</v>
      </c>
      <c r="G33" s="30">
        <v>4</v>
      </c>
      <c r="H33" s="30">
        <v>4</v>
      </c>
      <c r="I33" s="30">
        <v>0</v>
      </c>
      <c r="J33" s="30">
        <v>60</v>
      </c>
      <c r="K33" s="30">
        <v>32</v>
      </c>
      <c r="L33" s="30" t="s">
        <v>95</v>
      </c>
    </row>
    <row r="34" spans="1:12" x14ac:dyDescent="0.25">
      <c r="A34" s="30" t="s">
        <v>74</v>
      </c>
      <c r="B34" s="30" t="s">
        <v>90</v>
      </c>
      <c r="C34" s="29" t="s">
        <v>96</v>
      </c>
      <c r="D34" s="34">
        <v>45992</v>
      </c>
      <c r="E34" s="30" t="s">
        <v>97</v>
      </c>
      <c r="F34" s="30">
        <v>29</v>
      </c>
      <c r="G34" s="30">
        <v>5</v>
      </c>
      <c r="H34" s="30">
        <v>0</v>
      </c>
      <c r="I34" s="30">
        <v>1</v>
      </c>
      <c r="J34" s="30">
        <v>60</v>
      </c>
      <c r="K34" s="30">
        <v>32</v>
      </c>
      <c r="L34" s="30" t="s">
        <v>93</v>
      </c>
    </row>
    <row r="35" spans="1:12" x14ac:dyDescent="0.25">
      <c r="A35" s="30" t="s">
        <v>74</v>
      </c>
      <c r="B35" s="30" t="s">
        <v>90</v>
      </c>
      <c r="C35" s="29" t="s">
        <v>114</v>
      </c>
      <c r="D35" s="30"/>
      <c r="E35" s="30" t="s">
        <v>97</v>
      </c>
      <c r="F35" s="30">
        <v>1</v>
      </c>
      <c r="G35" s="30">
        <v>0</v>
      </c>
      <c r="H35" s="30">
        <v>0</v>
      </c>
      <c r="I35" s="30">
        <v>0</v>
      </c>
      <c r="J35" s="30">
        <v>60</v>
      </c>
      <c r="K35" s="30">
        <v>32</v>
      </c>
      <c r="L35" s="30" t="s">
        <v>93</v>
      </c>
    </row>
    <row r="36" spans="1:12" x14ac:dyDescent="0.25">
      <c r="A36" s="30" t="s">
        <v>74</v>
      </c>
      <c r="B36" s="30" t="s">
        <v>90</v>
      </c>
      <c r="C36" s="29" t="s">
        <v>115</v>
      </c>
      <c r="D36" s="34">
        <v>46023</v>
      </c>
      <c r="E36" s="30" t="s">
        <v>99</v>
      </c>
      <c r="F36" s="30">
        <v>3</v>
      </c>
      <c r="G36" s="30">
        <v>0</v>
      </c>
      <c r="H36" s="30">
        <v>0</v>
      </c>
      <c r="I36" s="30">
        <v>0</v>
      </c>
      <c r="J36" s="30">
        <v>60</v>
      </c>
      <c r="K36" s="30">
        <v>32</v>
      </c>
      <c r="L36" s="30" t="s">
        <v>95</v>
      </c>
    </row>
    <row r="37" spans="1:12" x14ac:dyDescent="0.25">
      <c r="A37" s="30" t="s">
        <v>74</v>
      </c>
      <c r="B37" s="30" t="s">
        <v>90</v>
      </c>
      <c r="C37" s="29" t="s">
        <v>100</v>
      </c>
      <c r="D37" s="30"/>
      <c r="E37" s="30" t="s">
        <v>101</v>
      </c>
      <c r="F37" s="30">
        <v>16</v>
      </c>
      <c r="G37" s="30">
        <v>4</v>
      </c>
      <c r="H37" s="30">
        <v>0</v>
      </c>
      <c r="I37" s="30">
        <v>0</v>
      </c>
      <c r="J37" s="30">
        <v>60</v>
      </c>
      <c r="K37" s="30">
        <v>32</v>
      </c>
      <c r="L37" s="30" t="s">
        <v>93</v>
      </c>
    </row>
    <row r="38" spans="1:12" x14ac:dyDescent="0.25">
      <c r="A38" s="30" t="s">
        <v>74</v>
      </c>
      <c r="B38" s="30" t="s">
        <v>90</v>
      </c>
      <c r="C38" s="29" t="s">
        <v>102</v>
      </c>
      <c r="D38" s="30"/>
      <c r="E38" s="30" t="s">
        <v>103</v>
      </c>
      <c r="F38" s="30">
        <v>17</v>
      </c>
      <c r="G38" s="30">
        <v>1</v>
      </c>
      <c r="H38" s="30">
        <v>0</v>
      </c>
      <c r="I38" s="30">
        <v>0</v>
      </c>
      <c r="J38" s="30">
        <v>60</v>
      </c>
      <c r="K38" s="30">
        <v>32</v>
      </c>
      <c r="L38" s="30" t="s">
        <v>93</v>
      </c>
    </row>
    <row r="39" spans="1:12" x14ac:dyDescent="0.25">
      <c r="A39" s="30" t="s">
        <v>74</v>
      </c>
      <c r="B39" s="30" t="s">
        <v>90</v>
      </c>
      <c r="C39" s="29" t="s">
        <v>104</v>
      </c>
      <c r="D39" s="34">
        <v>45778</v>
      </c>
      <c r="E39" s="30" t="s">
        <v>103</v>
      </c>
      <c r="F39" s="30">
        <v>21</v>
      </c>
      <c r="G39" s="30">
        <v>12</v>
      </c>
      <c r="H39" s="30">
        <v>0</v>
      </c>
      <c r="I39" s="30">
        <v>0</v>
      </c>
      <c r="J39" s="30">
        <v>60</v>
      </c>
      <c r="K39" s="30">
        <v>32</v>
      </c>
      <c r="L39" s="30" t="s">
        <v>95</v>
      </c>
    </row>
    <row r="40" spans="1:12" x14ac:dyDescent="0.25">
      <c r="A40" s="30" t="s">
        <v>74</v>
      </c>
      <c r="B40" s="30" t="s">
        <v>90</v>
      </c>
      <c r="C40" s="29" t="s">
        <v>105</v>
      </c>
      <c r="D40" s="30"/>
      <c r="E40" s="30" t="s">
        <v>103</v>
      </c>
      <c r="F40" s="30">
        <v>14</v>
      </c>
      <c r="G40" s="30">
        <v>7</v>
      </c>
      <c r="H40" s="30">
        <v>0</v>
      </c>
      <c r="I40" s="30">
        <v>0</v>
      </c>
      <c r="J40" s="30">
        <v>60</v>
      </c>
      <c r="K40" s="30">
        <v>32</v>
      </c>
      <c r="L40" s="30" t="s">
        <v>93</v>
      </c>
    </row>
    <row r="41" spans="1:12" x14ac:dyDescent="0.25">
      <c r="A41" s="30" t="s">
        <v>74</v>
      </c>
      <c r="B41" s="30" t="s">
        <v>90</v>
      </c>
      <c r="C41" s="29" t="s">
        <v>106</v>
      </c>
      <c r="D41" s="34">
        <v>45992</v>
      </c>
      <c r="E41" s="30" t="s">
        <v>101</v>
      </c>
      <c r="F41" s="30">
        <v>19</v>
      </c>
      <c r="G41" s="30">
        <v>12</v>
      </c>
      <c r="H41" s="30">
        <v>3</v>
      </c>
      <c r="I41" s="30">
        <v>0</v>
      </c>
      <c r="J41" s="30">
        <v>60</v>
      </c>
      <c r="K41" s="30">
        <v>32</v>
      </c>
      <c r="L41" s="30" t="s">
        <v>95</v>
      </c>
    </row>
    <row r="42" spans="1:12" x14ac:dyDescent="0.25">
      <c r="A42" s="30" t="s">
        <v>74</v>
      </c>
      <c r="B42" s="30" t="s">
        <v>90</v>
      </c>
      <c r="C42" s="29" t="s">
        <v>107</v>
      </c>
      <c r="D42" s="34">
        <v>45139</v>
      </c>
      <c r="E42" s="30" t="s">
        <v>101</v>
      </c>
      <c r="F42" s="30">
        <v>11</v>
      </c>
      <c r="G42" s="30">
        <v>7</v>
      </c>
      <c r="H42" s="30">
        <v>0</v>
      </c>
      <c r="I42" s="30">
        <v>0</v>
      </c>
      <c r="J42" s="30">
        <v>60</v>
      </c>
      <c r="K42" s="30">
        <v>32</v>
      </c>
      <c r="L42" s="30" t="s">
        <v>95</v>
      </c>
    </row>
    <row r="43" spans="1:12" x14ac:dyDescent="0.25">
      <c r="A43" s="30" t="s">
        <v>74</v>
      </c>
      <c r="B43" s="30" t="s">
        <v>90</v>
      </c>
      <c r="C43" s="29" t="s">
        <v>108</v>
      </c>
      <c r="D43" s="34">
        <v>45627</v>
      </c>
      <c r="E43" s="30" t="s">
        <v>109</v>
      </c>
      <c r="F43" s="30">
        <v>29</v>
      </c>
      <c r="G43" s="30">
        <v>22</v>
      </c>
      <c r="H43" s="30">
        <v>25</v>
      </c>
      <c r="I43" s="30">
        <v>5</v>
      </c>
      <c r="J43" s="30">
        <v>60</v>
      </c>
      <c r="K43" s="30">
        <v>32</v>
      </c>
      <c r="L43" s="30" t="s">
        <v>95</v>
      </c>
    </row>
    <row r="44" spans="1:12" x14ac:dyDescent="0.25">
      <c r="A44" s="30" t="s">
        <v>74</v>
      </c>
      <c r="B44" s="30" t="s">
        <v>90</v>
      </c>
      <c r="C44" s="29" t="s">
        <v>110</v>
      </c>
      <c r="D44" s="34">
        <v>45870</v>
      </c>
      <c r="E44" s="30" t="s">
        <v>109</v>
      </c>
      <c r="F44" s="30">
        <v>28</v>
      </c>
      <c r="G44" s="30">
        <v>13</v>
      </c>
      <c r="H44" s="30">
        <v>8</v>
      </c>
      <c r="I44" s="30">
        <v>1</v>
      </c>
      <c r="J44" s="30">
        <v>60</v>
      </c>
      <c r="K44" s="30">
        <v>32</v>
      </c>
      <c r="L44" s="30" t="s">
        <v>95</v>
      </c>
    </row>
    <row r="45" spans="1:12" x14ac:dyDescent="0.25">
      <c r="A45" s="30" t="s">
        <v>74</v>
      </c>
      <c r="B45" s="30" t="s">
        <v>90</v>
      </c>
      <c r="C45" s="29" t="s">
        <v>111</v>
      </c>
      <c r="D45" s="34">
        <v>45962</v>
      </c>
      <c r="E45" s="30" t="s">
        <v>109</v>
      </c>
      <c r="F45" s="30">
        <v>29</v>
      </c>
      <c r="G45" s="30">
        <v>16</v>
      </c>
      <c r="H45" s="30">
        <v>24</v>
      </c>
      <c r="I45" s="30">
        <v>3</v>
      </c>
      <c r="J45" s="30">
        <v>60</v>
      </c>
      <c r="K45" s="30">
        <v>32</v>
      </c>
      <c r="L45" s="30" t="s">
        <v>95</v>
      </c>
    </row>
    <row r="46" spans="1:12" x14ac:dyDescent="0.25">
      <c r="A46" s="30" t="s">
        <v>74</v>
      </c>
      <c r="B46" s="30" t="s">
        <v>90</v>
      </c>
      <c r="C46" s="29" t="s">
        <v>112</v>
      </c>
      <c r="D46" s="34">
        <v>45931</v>
      </c>
      <c r="E46" s="30" t="s">
        <v>109</v>
      </c>
      <c r="F46" s="30">
        <v>21</v>
      </c>
      <c r="G46" s="30">
        <v>13</v>
      </c>
      <c r="H46" s="30">
        <v>8</v>
      </c>
      <c r="I46" s="30">
        <v>0</v>
      </c>
      <c r="J46" s="30">
        <v>60</v>
      </c>
      <c r="K46" s="30">
        <v>32</v>
      </c>
      <c r="L46" s="30" t="s">
        <v>95</v>
      </c>
    </row>
    <row r="47" spans="1:12" x14ac:dyDescent="0.25">
      <c r="A47" s="30" t="s">
        <v>74</v>
      </c>
      <c r="B47" s="30" t="s">
        <v>90</v>
      </c>
      <c r="C47" s="29" t="s">
        <v>113</v>
      </c>
      <c r="D47" s="30"/>
      <c r="E47" s="30" t="s">
        <v>109</v>
      </c>
      <c r="F47" s="30">
        <v>5</v>
      </c>
      <c r="G47" s="30">
        <v>1</v>
      </c>
      <c r="H47" s="30">
        <v>0</v>
      </c>
      <c r="I47" s="30">
        <v>3</v>
      </c>
      <c r="J47" s="30"/>
      <c r="K47" s="30"/>
      <c r="L47" s="30" t="s">
        <v>95</v>
      </c>
    </row>
    <row r="48" spans="1:12" x14ac:dyDescent="0.25">
      <c r="A48" s="30" t="s">
        <v>74</v>
      </c>
      <c r="B48" s="30" t="s">
        <v>90</v>
      </c>
      <c r="C48" s="29" t="s">
        <v>116</v>
      </c>
      <c r="D48" s="34">
        <v>46054</v>
      </c>
      <c r="E48" s="30" t="s">
        <v>109</v>
      </c>
      <c r="F48" s="30">
        <v>1</v>
      </c>
      <c r="G48" s="30">
        <v>0</v>
      </c>
      <c r="H48" s="30">
        <v>0</v>
      </c>
      <c r="I48" s="30">
        <v>0</v>
      </c>
      <c r="J48" s="30">
        <v>60</v>
      </c>
      <c r="K48" s="30">
        <v>32</v>
      </c>
      <c r="L48" s="30" t="s">
        <v>95</v>
      </c>
    </row>
    <row r="49" spans="1:12" x14ac:dyDescent="0.25">
      <c r="A49" s="30" t="s">
        <v>74</v>
      </c>
      <c r="B49" s="30" t="s">
        <v>90</v>
      </c>
      <c r="C49" s="29" t="s">
        <v>117</v>
      </c>
      <c r="D49" s="34">
        <v>46054</v>
      </c>
      <c r="E49" s="30" t="s">
        <v>109</v>
      </c>
      <c r="F49" s="30">
        <v>1</v>
      </c>
      <c r="G49" s="30">
        <v>1</v>
      </c>
      <c r="H49" s="30">
        <v>0</v>
      </c>
      <c r="I49" s="30">
        <v>0</v>
      </c>
      <c r="J49" s="30">
        <v>60</v>
      </c>
      <c r="K49" s="30">
        <v>32</v>
      </c>
      <c r="L49" s="30" t="s">
        <v>93</v>
      </c>
    </row>
    <row r="50" spans="1:12" x14ac:dyDescent="0.25">
      <c r="A50" s="30" t="s">
        <v>75</v>
      </c>
      <c r="B50" s="30" t="s">
        <v>90</v>
      </c>
      <c r="C50" s="29" t="s">
        <v>91</v>
      </c>
      <c r="D50" s="34">
        <v>45962</v>
      </c>
      <c r="E50" s="30" t="s">
        <v>92</v>
      </c>
      <c r="F50" s="30">
        <v>48</v>
      </c>
      <c r="G50" s="30">
        <v>37</v>
      </c>
      <c r="H50" s="30">
        <v>18</v>
      </c>
      <c r="I50" s="30">
        <v>1</v>
      </c>
      <c r="J50" s="30">
        <v>60</v>
      </c>
      <c r="K50" s="30">
        <v>32</v>
      </c>
      <c r="L50" s="30" t="s">
        <v>93</v>
      </c>
    </row>
    <row r="51" spans="1:12" x14ac:dyDescent="0.25">
      <c r="A51" s="30" t="s">
        <v>75</v>
      </c>
      <c r="B51" s="30" t="s">
        <v>90</v>
      </c>
      <c r="C51" s="29" t="s">
        <v>94</v>
      </c>
      <c r="D51" s="34">
        <v>46023</v>
      </c>
      <c r="E51" s="30" t="s">
        <v>92</v>
      </c>
      <c r="F51" s="30">
        <v>22</v>
      </c>
      <c r="G51" s="30">
        <v>6</v>
      </c>
      <c r="H51" s="30">
        <v>2</v>
      </c>
      <c r="I51" s="30">
        <v>0</v>
      </c>
      <c r="J51" s="30">
        <v>60</v>
      </c>
      <c r="K51" s="30">
        <v>32</v>
      </c>
      <c r="L51" s="30" t="s">
        <v>95</v>
      </c>
    </row>
    <row r="52" spans="1:12" x14ac:dyDescent="0.25">
      <c r="A52" s="30" t="s">
        <v>75</v>
      </c>
      <c r="B52" s="30" t="s">
        <v>90</v>
      </c>
      <c r="C52" s="29" t="s">
        <v>96</v>
      </c>
      <c r="D52" s="34">
        <v>45992</v>
      </c>
      <c r="E52" s="30" t="s">
        <v>97</v>
      </c>
      <c r="F52" s="30">
        <v>8</v>
      </c>
      <c r="G52" s="30">
        <v>4</v>
      </c>
      <c r="H52" s="30">
        <v>0</v>
      </c>
      <c r="I52" s="30">
        <v>0</v>
      </c>
      <c r="J52" s="30">
        <v>60</v>
      </c>
      <c r="K52" s="30">
        <v>32</v>
      </c>
      <c r="L52" s="30" t="s">
        <v>93</v>
      </c>
    </row>
    <row r="53" spans="1:12" x14ac:dyDescent="0.25">
      <c r="A53" s="30" t="s">
        <v>75</v>
      </c>
      <c r="B53" s="30" t="s">
        <v>90</v>
      </c>
      <c r="C53" s="29" t="s">
        <v>114</v>
      </c>
      <c r="D53" s="30"/>
      <c r="E53" s="30" t="s">
        <v>97</v>
      </c>
      <c r="F53" s="30">
        <v>21</v>
      </c>
      <c r="G53" s="30">
        <v>7</v>
      </c>
      <c r="H53" s="30">
        <v>0</v>
      </c>
      <c r="I53" s="30">
        <v>0</v>
      </c>
      <c r="J53" s="30">
        <v>60</v>
      </c>
      <c r="K53" s="30">
        <v>32</v>
      </c>
      <c r="L53" s="30" t="s">
        <v>93</v>
      </c>
    </row>
    <row r="54" spans="1:12" x14ac:dyDescent="0.25">
      <c r="A54" s="30" t="s">
        <v>75</v>
      </c>
      <c r="B54" s="30" t="s">
        <v>90</v>
      </c>
      <c r="C54" s="29" t="s">
        <v>115</v>
      </c>
      <c r="D54" s="34">
        <v>46023</v>
      </c>
      <c r="E54" s="30" t="s">
        <v>99</v>
      </c>
      <c r="F54" s="30">
        <v>14</v>
      </c>
      <c r="G54" s="30">
        <v>11</v>
      </c>
      <c r="H54" s="30">
        <v>0</v>
      </c>
      <c r="I54" s="30">
        <v>0</v>
      </c>
      <c r="J54" s="30">
        <v>60</v>
      </c>
      <c r="K54" s="30">
        <v>32</v>
      </c>
      <c r="L54" s="30" t="s">
        <v>95</v>
      </c>
    </row>
    <row r="55" spans="1:12" x14ac:dyDescent="0.25">
      <c r="A55" s="30" t="s">
        <v>75</v>
      </c>
      <c r="B55" s="30" t="s">
        <v>90</v>
      </c>
      <c r="C55" s="29" t="s">
        <v>100</v>
      </c>
      <c r="D55" s="30"/>
      <c r="E55" s="30" t="s">
        <v>101</v>
      </c>
      <c r="F55" s="30">
        <v>15</v>
      </c>
      <c r="G55" s="30">
        <v>1</v>
      </c>
      <c r="H55" s="30">
        <v>5</v>
      </c>
      <c r="I55" s="30">
        <v>0</v>
      </c>
      <c r="J55" s="30">
        <v>60</v>
      </c>
      <c r="K55" s="30">
        <v>32</v>
      </c>
      <c r="L55" s="30" t="s">
        <v>93</v>
      </c>
    </row>
    <row r="56" spans="1:12" x14ac:dyDescent="0.25">
      <c r="A56" s="30" t="s">
        <v>75</v>
      </c>
      <c r="B56" s="30" t="s">
        <v>90</v>
      </c>
      <c r="C56" s="29" t="s">
        <v>102</v>
      </c>
      <c r="D56" s="30"/>
      <c r="E56" s="30" t="s">
        <v>103</v>
      </c>
      <c r="F56" s="30">
        <v>16</v>
      </c>
      <c r="G56" s="30">
        <v>4</v>
      </c>
      <c r="H56" s="30">
        <v>3</v>
      </c>
      <c r="I56" s="30">
        <v>0</v>
      </c>
      <c r="J56" s="30">
        <v>60</v>
      </c>
      <c r="K56" s="30">
        <v>32</v>
      </c>
      <c r="L56" s="30" t="s">
        <v>93</v>
      </c>
    </row>
    <row r="57" spans="1:12" x14ac:dyDescent="0.25">
      <c r="A57" s="30" t="s">
        <v>75</v>
      </c>
      <c r="B57" s="30" t="s">
        <v>90</v>
      </c>
      <c r="C57" s="29" t="s">
        <v>104</v>
      </c>
      <c r="D57" s="34">
        <v>45778</v>
      </c>
      <c r="E57" s="30" t="s">
        <v>103</v>
      </c>
      <c r="F57" s="30">
        <v>23</v>
      </c>
      <c r="G57" s="30">
        <v>26</v>
      </c>
      <c r="H57" s="30">
        <v>20</v>
      </c>
      <c r="I57" s="30">
        <v>2</v>
      </c>
      <c r="J57" s="30">
        <v>60</v>
      </c>
      <c r="K57" s="30">
        <v>32</v>
      </c>
      <c r="L57" s="30" t="s">
        <v>95</v>
      </c>
    </row>
    <row r="58" spans="1:12" x14ac:dyDescent="0.25">
      <c r="A58" s="30" t="s">
        <v>75</v>
      </c>
      <c r="B58" s="30" t="s">
        <v>90</v>
      </c>
      <c r="C58" s="29" t="s">
        <v>106</v>
      </c>
      <c r="D58" s="34">
        <v>45992</v>
      </c>
      <c r="E58" s="30" t="s">
        <v>101</v>
      </c>
      <c r="F58" s="30">
        <v>46</v>
      </c>
      <c r="G58" s="30">
        <v>19</v>
      </c>
      <c r="H58" s="30">
        <v>6</v>
      </c>
      <c r="I58" s="30">
        <v>0</v>
      </c>
      <c r="J58" s="30">
        <v>60</v>
      </c>
      <c r="K58" s="30">
        <v>32</v>
      </c>
      <c r="L58" s="30" t="s">
        <v>95</v>
      </c>
    </row>
    <row r="59" spans="1:12" x14ac:dyDescent="0.25">
      <c r="A59" s="30" t="s">
        <v>75</v>
      </c>
      <c r="B59" s="30" t="s">
        <v>90</v>
      </c>
      <c r="C59" s="29" t="s">
        <v>107</v>
      </c>
      <c r="D59" s="34">
        <v>45139</v>
      </c>
      <c r="E59" s="30" t="s">
        <v>101</v>
      </c>
      <c r="F59" s="30">
        <v>20</v>
      </c>
      <c r="G59" s="30">
        <v>11</v>
      </c>
      <c r="H59" s="30">
        <v>13</v>
      </c>
      <c r="I59" s="30">
        <v>2</v>
      </c>
      <c r="J59" s="30">
        <v>60</v>
      </c>
      <c r="K59" s="30">
        <v>32</v>
      </c>
      <c r="L59" s="30" t="s">
        <v>95</v>
      </c>
    </row>
    <row r="60" spans="1:12" x14ac:dyDescent="0.25">
      <c r="A60" s="30" t="s">
        <v>75</v>
      </c>
      <c r="B60" s="30" t="s">
        <v>90</v>
      </c>
      <c r="C60" s="29" t="s">
        <v>108</v>
      </c>
      <c r="D60" s="34">
        <v>45627</v>
      </c>
      <c r="E60" s="30" t="s">
        <v>109</v>
      </c>
      <c r="F60" s="30">
        <v>14</v>
      </c>
      <c r="G60" s="30">
        <v>14</v>
      </c>
      <c r="H60" s="30">
        <v>15</v>
      </c>
      <c r="I60" s="30">
        <v>5</v>
      </c>
      <c r="J60" s="30">
        <v>60</v>
      </c>
      <c r="K60" s="30">
        <v>32</v>
      </c>
      <c r="L60" s="30" t="s">
        <v>95</v>
      </c>
    </row>
    <row r="61" spans="1:12" x14ac:dyDescent="0.25">
      <c r="A61" s="30" t="s">
        <v>75</v>
      </c>
      <c r="B61" s="30" t="s">
        <v>90</v>
      </c>
      <c r="C61" s="29" t="s">
        <v>110</v>
      </c>
      <c r="D61" s="34">
        <v>45870</v>
      </c>
      <c r="E61" s="30" t="s">
        <v>109</v>
      </c>
      <c r="F61" s="30">
        <v>26</v>
      </c>
      <c r="G61" s="30">
        <v>14</v>
      </c>
      <c r="H61" s="30">
        <v>8</v>
      </c>
      <c r="I61" s="30">
        <v>1</v>
      </c>
      <c r="J61" s="30">
        <v>60</v>
      </c>
      <c r="K61" s="30">
        <v>32</v>
      </c>
      <c r="L61" s="30" t="s">
        <v>95</v>
      </c>
    </row>
    <row r="62" spans="1:12" x14ac:dyDescent="0.25">
      <c r="A62" s="30" t="s">
        <v>75</v>
      </c>
      <c r="B62" s="30" t="s">
        <v>90</v>
      </c>
      <c r="C62" s="29" t="s">
        <v>111</v>
      </c>
      <c r="D62" s="34">
        <v>45962</v>
      </c>
      <c r="E62" s="30" t="s">
        <v>109</v>
      </c>
      <c r="F62" s="30">
        <v>26</v>
      </c>
      <c r="G62" s="30">
        <v>19</v>
      </c>
      <c r="H62" s="30">
        <v>15</v>
      </c>
      <c r="I62" s="30">
        <v>3</v>
      </c>
      <c r="J62" s="30">
        <v>60</v>
      </c>
      <c r="K62" s="30">
        <v>32</v>
      </c>
      <c r="L62" s="30" t="s">
        <v>95</v>
      </c>
    </row>
    <row r="63" spans="1:12" x14ac:dyDescent="0.25">
      <c r="A63" s="30" t="s">
        <v>75</v>
      </c>
      <c r="B63" s="30" t="s">
        <v>90</v>
      </c>
      <c r="C63" s="29" t="s">
        <v>112</v>
      </c>
      <c r="D63" s="34">
        <v>45931</v>
      </c>
      <c r="E63" s="30" t="s">
        <v>109</v>
      </c>
      <c r="F63" s="30">
        <v>22</v>
      </c>
      <c r="G63" s="30">
        <v>20</v>
      </c>
      <c r="H63" s="30">
        <v>16</v>
      </c>
      <c r="I63" s="30">
        <v>1</v>
      </c>
      <c r="J63" s="30">
        <v>60</v>
      </c>
      <c r="K63" s="30">
        <v>32</v>
      </c>
      <c r="L63" s="30" t="s">
        <v>95</v>
      </c>
    </row>
    <row r="64" spans="1:12" x14ac:dyDescent="0.25">
      <c r="A64" s="30" t="s">
        <v>75</v>
      </c>
      <c r="B64" s="30" t="s">
        <v>90</v>
      </c>
      <c r="C64" s="29" t="s">
        <v>113</v>
      </c>
      <c r="D64" s="30"/>
      <c r="E64" s="30" t="s">
        <v>109</v>
      </c>
      <c r="F64" s="30">
        <v>7</v>
      </c>
      <c r="G64" s="30">
        <v>5</v>
      </c>
      <c r="H64" s="30">
        <v>0</v>
      </c>
      <c r="I64" s="30">
        <v>10</v>
      </c>
      <c r="J64" s="30"/>
      <c r="K64" s="30"/>
      <c r="L64" s="30" t="s">
        <v>95</v>
      </c>
    </row>
    <row r="65" spans="1:12" x14ac:dyDescent="0.25">
      <c r="A65" s="30" t="s">
        <v>75</v>
      </c>
      <c r="B65" s="30" t="s">
        <v>90</v>
      </c>
      <c r="C65" s="29" t="s">
        <v>116</v>
      </c>
      <c r="D65" s="34">
        <v>46054</v>
      </c>
      <c r="E65" s="30" t="s">
        <v>109</v>
      </c>
      <c r="F65" s="30">
        <v>17</v>
      </c>
      <c r="G65" s="30">
        <v>7</v>
      </c>
      <c r="H65" s="30">
        <v>7</v>
      </c>
      <c r="I65" s="30">
        <v>0</v>
      </c>
      <c r="J65" s="30">
        <v>60</v>
      </c>
      <c r="K65" s="30">
        <v>32</v>
      </c>
      <c r="L65" s="30" t="s">
        <v>95</v>
      </c>
    </row>
    <row r="66" spans="1:12" x14ac:dyDescent="0.25">
      <c r="A66" s="30" t="s">
        <v>75</v>
      </c>
      <c r="B66" s="30" t="s">
        <v>90</v>
      </c>
      <c r="C66" s="29" t="s">
        <v>117</v>
      </c>
      <c r="D66" s="34">
        <v>46054</v>
      </c>
      <c r="E66" s="30" t="s">
        <v>109</v>
      </c>
      <c r="F66" s="30">
        <v>6</v>
      </c>
      <c r="G66" s="30">
        <v>2</v>
      </c>
      <c r="H66" s="30">
        <v>6</v>
      </c>
      <c r="I66" s="30">
        <v>0</v>
      </c>
      <c r="J66" s="30">
        <v>60</v>
      </c>
      <c r="K66" s="30">
        <v>32</v>
      </c>
      <c r="L66" s="30" t="s">
        <v>93</v>
      </c>
    </row>
    <row r="67" spans="1:12" x14ac:dyDescent="0.25">
      <c r="A67" s="30" t="s">
        <v>76</v>
      </c>
      <c r="B67" s="30" t="s">
        <v>118</v>
      </c>
      <c r="C67" s="29" t="s">
        <v>91</v>
      </c>
      <c r="D67" s="34">
        <v>45962</v>
      </c>
      <c r="E67" s="30" t="s">
        <v>92</v>
      </c>
      <c r="F67" s="30">
        <v>42</v>
      </c>
      <c r="G67" s="30">
        <v>11</v>
      </c>
      <c r="H67" s="30">
        <v>4</v>
      </c>
      <c r="I67" s="30">
        <v>1</v>
      </c>
      <c r="J67" s="30">
        <v>60</v>
      </c>
      <c r="K67" s="30">
        <v>32</v>
      </c>
      <c r="L67" s="30" t="s">
        <v>93</v>
      </c>
    </row>
    <row r="68" spans="1:12" x14ac:dyDescent="0.25">
      <c r="A68" s="30" t="s">
        <v>76</v>
      </c>
      <c r="B68" s="30" t="s">
        <v>118</v>
      </c>
      <c r="C68" s="29" t="s">
        <v>94</v>
      </c>
      <c r="D68" s="34">
        <v>46023</v>
      </c>
      <c r="E68" s="30" t="s">
        <v>92</v>
      </c>
      <c r="F68" s="30">
        <v>27</v>
      </c>
      <c r="G68" s="30">
        <v>7</v>
      </c>
      <c r="H68" s="30">
        <v>1</v>
      </c>
      <c r="I68" s="30">
        <v>0</v>
      </c>
      <c r="J68" s="30">
        <v>60</v>
      </c>
      <c r="K68" s="30">
        <v>32</v>
      </c>
      <c r="L68" s="30" t="s">
        <v>95</v>
      </c>
    </row>
    <row r="69" spans="1:12" x14ac:dyDescent="0.25">
      <c r="A69" s="30" t="s">
        <v>76</v>
      </c>
      <c r="B69" s="30" t="s">
        <v>118</v>
      </c>
      <c r="C69" s="29" t="s">
        <v>96</v>
      </c>
      <c r="D69" s="34">
        <v>45992</v>
      </c>
      <c r="E69" s="30" t="s">
        <v>97</v>
      </c>
      <c r="F69" s="30">
        <v>10</v>
      </c>
      <c r="G69" s="30">
        <v>0</v>
      </c>
      <c r="H69" s="30">
        <v>0</v>
      </c>
      <c r="I69" s="30">
        <v>0</v>
      </c>
      <c r="J69" s="30">
        <v>60</v>
      </c>
      <c r="K69" s="30">
        <v>32</v>
      </c>
      <c r="L69" s="30" t="s">
        <v>93</v>
      </c>
    </row>
    <row r="70" spans="1:12" x14ac:dyDescent="0.25">
      <c r="A70" s="30" t="s">
        <v>76</v>
      </c>
      <c r="B70" s="30" t="s">
        <v>118</v>
      </c>
      <c r="C70" s="29" t="s">
        <v>114</v>
      </c>
      <c r="D70" s="30"/>
      <c r="E70" s="30" t="s">
        <v>97</v>
      </c>
      <c r="F70" s="30">
        <v>17</v>
      </c>
      <c r="G70" s="30">
        <v>3</v>
      </c>
      <c r="H70" s="30">
        <v>0</v>
      </c>
      <c r="I70" s="30">
        <v>0</v>
      </c>
      <c r="J70" s="30">
        <v>60</v>
      </c>
      <c r="K70" s="30">
        <v>32</v>
      </c>
      <c r="L70" s="30" t="s">
        <v>93</v>
      </c>
    </row>
    <row r="71" spans="1:12" x14ac:dyDescent="0.25">
      <c r="A71" s="30" t="s">
        <v>76</v>
      </c>
      <c r="B71" s="30" t="s">
        <v>118</v>
      </c>
      <c r="C71" s="29" t="s">
        <v>115</v>
      </c>
      <c r="D71" s="34">
        <v>46023</v>
      </c>
      <c r="E71" s="30" t="s">
        <v>99</v>
      </c>
      <c r="F71" s="30">
        <v>27</v>
      </c>
      <c r="G71" s="30">
        <v>12</v>
      </c>
      <c r="H71" s="30">
        <v>1</v>
      </c>
      <c r="I71" s="30">
        <v>0</v>
      </c>
      <c r="J71" s="30">
        <v>60</v>
      </c>
      <c r="K71" s="30">
        <v>32</v>
      </c>
      <c r="L71" s="30" t="s">
        <v>93</v>
      </c>
    </row>
    <row r="72" spans="1:12" x14ac:dyDescent="0.25">
      <c r="A72" s="30" t="s">
        <v>76</v>
      </c>
      <c r="B72" s="30" t="s">
        <v>118</v>
      </c>
      <c r="C72" s="29" t="s">
        <v>104</v>
      </c>
      <c r="D72" s="34">
        <v>45778</v>
      </c>
      <c r="E72" s="30" t="s">
        <v>103</v>
      </c>
      <c r="F72" s="30">
        <v>33</v>
      </c>
      <c r="G72" s="30">
        <v>15</v>
      </c>
      <c r="H72" s="30">
        <v>20</v>
      </c>
      <c r="I72" s="30">
        <v>0</v>
      </c>
      <c r="J72" s="30">
        <v>60</v>
      </c>
      <c r="K72" s="30">
        <v>32</v>
      </c>
      <c r="L72" s="30" t="s">
        <v>95</v>
      </c>
    </row>
    <row r="73" spans="1:12" x14ac:dyDescent="0.25">
      <c r="A73" s="30" t="s">
        <v>76</v>
      </c>
      <c r="B73" s="30" t="s">
        <v>118</v>
      </c>
      <c r="C73" s="29" t="s">
        <v>106</v>
      </c>
      <c r="D73" s="34">
        <v>45992</v>
      </c>
      <c r="E73" s="30" t="s">
        <v>101</v>
      </c>
      <c r="F73" s="30">
        <v>39</v>
      </c>
      <c r="G73" s="30">
        <v>10</v>
      </c>
      <c r="H73" s="30">
        <v>16</v>
      </c>
      <c r="I73" s="30">
        <v>3</v>
      </c>
      <c r="J73" s="30">
        <v>60</v>
      </c>
      <c r="K73" s="30">
        <v>32</v>
      </c>
      <c r="L73" s="30" t="s">
        <v>95</v>
      </c>
    </row>
    <row r="74" spans="1:12" x14ac:dyDescent="0.25">
      <c r="A74" s="30" t="s">
        <v>76</v>
      </c>
      <c r="B74" s="30" t="s">
        <v>118</v>
      </c>
      <c r="C74" s="29" t="s">
        <v>107</v>
      </c>
      <c r="D74" s="34">
        <v>45139</v>
      </c>
      <c r="E74" s="30" t="s">
        <v>101</v>
      </c>
      <c r="F74" s="30">
        <v>6</v>
      </c>
      <c r="G74" s="30">
        <v>3</v>
      </c>
      <c r="H74" s="30">
        <v>0</v>
      </c>
      <c r="I74" s="30">
        <v>0</v>
      </c>
      <c r="J74" s="30">
        <v>60</v>
      </c>
      <c r="K74" s="30">
        <v>32</v>
      </c>
      <c r="L74" s="30" t="s">
        <v>95</v>
      </c>
    </row>
    <row r="75" spans="1:12" x14ac:dyDescent="0.25">
      <c r="A75" s="30" t="s">
        <v>76</v>
      </c>
      <c r="B75" s="30" t="s">
        <v>118</v>
      </c>
      <c r="C75" s="29" t="s">
        <v>108</v>
      </c>
      <c r="D75" s="34">
        <v>45627</v>
      </c>
      <c r="E75" s="30" t="s">
        <v>109</v>
      </c>
      <c r="F75" s="30">
        <v>18</v>
      </c>
      <c r="G75" s="30">
        <v>15</v>
      </c>
      <c r="H75" s="30">
        <v>14</v>
      </c>
      <c r="I75" s="30">
        <v>1</v>
      </c>
      <c r="J75" s="30">
        <v>60</v>
      </c>
      <c r="K75" s="30">
        <v>32</v>
      </c>
      <c r="L75" s="30" t="s">
        <v>95</v>
      </c>
    </row>
    <row r="76" spans="1:12" x14ac:dyDescent="0.25">
      <c r="A76" s="30" t="s">
        <v>76</v>
      </c>
      <c r="B76" s="30" t="s">
        <v>118</v>
      </c>
      <c r="C76" s="29" t="s">
        <v>110</v>
      </c>
      <c r="D76" s="34">
        <v>45870</v>
      </c>
      <c r="E76" s="30" t="s">
        <v>109</v>
      </c>
      <c r="F76" s="30">
        <v>17</v>
      </c>
      <c r="G76" s="30">
        <v>11</v>
      </c>
      <c r="H76" s="30">
        <v>15</v>
      </c>
      <c r="I76" s="30">
        <v>3</v>
      </c>
      <c r="J76" s="30">
        <v>60</v>
      </c>
      <c r="K76" s="30">
        <v>32</v>
      </c>
      <c r="L76" s="30" t="s">
        <v>95</v>
      </c>
    </row>
    <row r="77" spans="1:12" x14ac:dyDescent="0.25">
      <c r="A77" s="30" t="s">
        <v>76</v>
      </c>
      <c r="B77" s="30" t="s">
        <v>118</v>
      </c>
      <c r="C77" s="29" t="s">
        <v>111</v>
      </c>
      <c r="D77" s="34">
        <v>45962</v>
      </c>
      <c r="E77" s="30" t="s">
        <v>109</v>
      </c>
      <c r="F77" s="30">
        <v>14</v>
      </c>
      <c r="G77" s="30">
        <v>9</v>
      </c>
      <c r="H77" s="30">
        <v>9</v>
      </c>
      <c r="I77" s="30">
        <v>0</v>
      </c>
      <c r="J77" s="30">
        <v>60</v>
      </c>
      <c r="K77" s="30">
        <v>32</v>
      </c>
      <c r="L77" s="30" t="s">
        <v>95</v>
      </c>
    </row>
    <row r="78" spans="1:12" x14ac:dyDescent="0.25">
      <c r="A78" s="30" t="s">
        <v>76</v>
      </c>
      <c r="B78" s="30" t="s">
        <v>118</v>
      </c>
      <c r="C78" s="29" t="s">
        <v>112</v>
      </c>
      <c r="D78" s="34">
        <v>45931</v>
      </c>
      <c r="E78" s="30" t="s">
        <v>109</v>
      </c>
      <c r="F78" s="30">
        <v>14</v>
      </c>
      <c r="G78" s="30">
        <v>4</v>
      </c>
      <c r="H78" s="30">
        <v>3</v>
      </c>
      <c r="I78" s="30">
        <v>0</v>
      </c>
      <c r="J78" s="30">
        <v>60</v>
      </c>
      <c r="K78" s="30">
        <v>32</v>
      </c>
      <c r="L78" s="30" t="s">
        <v>95</v>
      </c>
    </row>
    <row r="79" spans="1:12" x14ac:dyDescent="0.25">
      <c r="A79" s="30" t="s">
        <v>76</v>
      </c>
      <c r="B79" s="30" t="s">
        <v>118</v>
      </c>
      <c r="C79" s="29" t="s">
        <v>113</v>
      </c>
      <c r="D79" s="30"/>
      <c r="E79" s="30" t="s">
        <v>109</v>
      </c>
      <c r="F79" s="30">
        <v>7</v>
      </c>
      <c r="G79" s="30">
        <v>8</v>
      </c>
      <c r="H79" s="30">
        <v>9</v>
      </c>
      <c r="I79" s="30">
        <v>3</v>
      </c>
      <c r="J79" s="30">
        <v>60</v>
      </c>
      <c r="K79" s="30">
        <v>32</v>
      </c>
      <c r="L79" s="30" t="s">
        <v>95</v>
      </c>
    </row>
    <row r="80" spans="1:12" x14ac:dyDescent="0.25">
      <c r="A80" s="30" t="s">
        <v>76</v>
      </c>
      <c r="B80" s="30" t="s">
        <v>118</v>
      </c>
      <c r="C80" s="29" t="s">
        <v>116</v>
      </c>
      <c r="D80" s="34">
        <v>46054</v>
      </c>
      <c r="E80" s="30" t="s">
        <v>109</v>
      </c>
      <c r="F80" s="30">
        <v>7</v>
      </c>
      <c r="G80" s="30">
        <v>3</v>
      </c>
      <c r="H80" s="30">
        <v>1</v>
      </c>
      <c r="I80" s="30">
        <v>0</v>
      </c>
      <c r="J80" s="30">
        <v>60</v>
      </c>
      <c r="K80" s="30">
        <v>32</v>
      </c>
      <c r="L80" s="30" t="s">
        <v>95</v>
      </c>
    </row>
    <row r="81" spans="1:12" x14ac:dyDescent="0.25">
      <c r="A81" s="30" t="s">
        <v>76</v>
      </c>
      <c r="B81" s="30" t="s">
        <v>118</v>
      </c>
      <c r="C81" s="29" t="s">
        <v>117</v>
      </c>
      <c r="D81" s="34">
        <v>46054</v>
      </c>
      <c r="E81" s="30" t="s">
        <v>109</v>
      </c>
      <c r="F81" s="30">
        <v>2</v>
      </c>
      <c r="G81" s="30">
        <v>2</v>
      </c>
      <c r="H81" s="30">
        <v>1</v>
      </c>
      <c r="I81" s="30">
        <v>0</v>
      </c>
      <c r="J81" s="30">
        <v>60</v>
      </c>
      <c r="K81" s="30">
        <v>32</v>
      </c>
      <c r="L81" s="30" t="s">
        <v>93</v>
      </c>
    </row>
    <row r="82" spans="1:12" x14ac:dyDescent="0.25">
      <c r="A82" s="30" t="s">
        <v>76</v>
      </c>
      <c r="B82" s="30" t="s">
        <v>118</v>
      </c>
      <c r="C82" s="29" t="s">
        <v>119</v>
      </c>
      <c r="D82" s="34">
        <v>46113</v>
      </c>
      <c r="E82" s="30" t="s">
        <v>103</v>
      </c>
      <c r="F82" s="30">
        <v>4</v>
      </c>
      <c r="G82" s="30">
        <v>0</v>
      </c>
      <c r="H82" s="30">
        <v>0</v>
      </c>
      <c r="I82" s="30">
        <v>0</v>
      </c>
      <c r="J82" s="30"/>
      <c r="K82" s="30"/>
      <c r="L82" s="30" t="s">
        <v>93</v>
      </c>
    </row>
    <row r="83" spans="1:12" x14ac:dyDescent="0.25">
      <c r="A83" s="30" t="s">
        <v>76</v>
      </c>
      <c r="B83" s="30" t="s">
        <v>118</v>
      </c>
      <c r="C83" s="29" t="s">
        <v>120</v>
      </c>
      <c r="D83" s="34">
        <v>46113</v>
      </c>
      <c r="E83" s="30" t="s">
        <v>101</v>
      </c>
      <c r="F83" s="30">
        <v>4</v>
      </c>
      <c r="G83" s="30">
        <v>0</v>
      </c>
      <c r="H83" s="30">
        <v>0</v>
      </c>
      <c r="I83" s="30">
        <v>0</v>
      </c>
      <c r="J83" s="30"/>
      <c r="K83" s="30"/>
      <c r="L83" s="30" t="s">
        <v>95</v>
      </c>
    </row>
    <row r="84" spans="1:12" x14ac:dyDescent="0.25">
      <c r="A84" s="30" t="s">
        <v>77</v>
      </c>
      <c r="B84" s="30" t="s">
        <v>118</v>
      </c>
      <c r="C84" s="29" t="s">
        <v>91</v>
      </c>
      <c r="D84" s="34">
        <v>45962</v>
      </c>
      <c r="E84" s="30" t="s">
        <v>92</v>
      </c>
      <c r="F84" s="30">
        <v>28</v>
      </c>
      <c r="G84" s="30">
        <v>26</v>
      </c>
      <c r="H84" s="30">
        <v>21</v>
      </c>
      <c r="I84" s="30">
        <v>1</v>
      </c>
      <c r="J84" s="30">
        <v>60</v>
      </c>
      <c r="K84" s="30">
        <v>32</v>
      </c>
      <c r="L84" s="30" t="s">
        <v>93</v>
      </c>
    </row>
    <row r="85" spans="1:12" x14ac:dyDescent="0.25">
      <c r="A85" s="30" t="s">
        <v>77</v>
      </c>
      <c r="B85" s="30" t="s">
        <v>118</v>
      </c>
      <c r="C85" s="29" t="s">
        <v>94</v>
      </c>
      <c r="D85" s="34">
        <v>46023</v>
      </c>
      <c r="E85" s="30" t="s">
        <v>92</v>
      </c>
      <c r="F85" s="30">
        <v>23</v>
      </c>
      <c r="G85" s="30">
        <v>14</v>
      </c>
      <c r="H85" s="30">
        <v>3</v>
      </c>
      <c r="I85" s="30">
        <v>0</v>
      </c>
      <c r="J85" s="30">
        <v>60</v>
      </c>
      <c r="K85" s="30">
        <v>32</v>
      </c>
      <c r="L85" s="30" t="s">
        <v>95</v>
      </c>
    </row>
    <row r="86" spans="1:12" x14ac:dyDescent="0.25">
      <c r="A86" s="30" t="s">
        <v>77</v>
      </c>
      <c r="B86" s="30" t="s">
        <v>118</v>
      </c>
      <c r="C86" s="29" t="s">
        <v>121</v>
      </c>
      <c r="D86" s="34">
        <v>46147</v>
      </c>
      <c r="E86" s="30" t="s">
        <v>99</v>
      </c>
      <c r="F86" s="30">
        <v>18</v>
      </c>
      <c r="G86" s="30">
        <v>4</v>
      </c>
      <c r="H86" s="30">
        <v>0</v>
      </c>
      <c r="I86" s="30">
        <v>0</v>
      </c>
      <c r="J86" s="30">
        <v>15</v>
      </c>
      <c r="K86" s="30">
        <v>8</v>
      </c>
      <c r="L86" s="30" t="s">
        <v>95</v>
      </c>
    </row>
    <row r="87" spans="1:12" x14ac:dyDescent="0.25">
      <c r="A87" s="30" t="s">
        <v>77</v>
      </c>
      <c r="B87" s="30" t="s">
        <v>118</v>
      </c>
      <c r="C87" s="29" t="s">
        <v>115</v>
      </c>
      <c r="D87" s="34">
        <v>46023</v>
      </c>
      <c r="E87" s="30" t="s">
        <v>99</v>
      </c>
      <c r="F87" s="30">
        <v>7</v>
      </c>
      <c r="G87" s="30">
        <v>4</v>
      </c>
      <c r="H87" s="30">
        <v>1</v>
      </c>
      <c r="I87" s="30">
        <v>0</v>
      </c>
      <c r="J87" s="30">
        <v>60</v>
      </c>
      <c r="K87" s="30">
        <v>32</v>
      </c>
      <c r="L87" s="30" t="s">
        <v>95</v>
      </c>
    </row>
    <row r="88" spans="1:12" x14ac:dyDescent="0.25">
      <c r="A88" s="30" t="s">
        <v>77</v>
      </c>
      <c r="B88" s="30" t="s">
        <v>118</v>
      </c>
      <c r="C88" s="29" t="s">
        <v>104</v>
      </c>
      <c r="D88" s="34">
        <v>45778</v>
      </c>
      <c r="E88" s="30" t="s">
        <v>103</v>
      </c>
      <c r="F88" s="30">
        <v>8</v>
      </c>
      <c r="G88" s="30">
        <v>6</v>
      </c>
      <c r="H88" s="30">
        <v>3</v>
      </c>
      <c r="I88" s="30">
        <v>0</v>
      </c>
      <c r="J88" s="30">
        <v>60</v>
      </c>
      <c r="K88" s="30">
        <v>32</v>
      </c>
      <c r="L88" s="30" t="s">
        <v>95</v>
      </c>
    </row>
    <row r="89" spans="1:12" x14ac:dyDescent="0.25">
      <c r="A89" s="30" t="s">
        <v>77</v>
      </c>
      <c r="B89" s="30" t="s">
        <v>118</v>
      </c>
      <c r="C89" s="29" t="s">
        <v>106</v>
      </c>
      <c r="D89" s="34">
        <v>45992</v>
      </c>
      <c r="E89" s="30" t="s">
        <v>101</v>
      </c>
      <c r="F89" s="30">
        <v>52</v>
      </c>
      <c r="G89" s="30">
        <v>13</v>
      </c>
      <c r="H89" s="30">
        <v>4</v>
      </c>
      <c r="I89" s="30">
        <v>2</v>
      </c>
      <c r="J89" s="30">
        <v>60</v>
      </c>
      <c r="K89" s="30">
        <v>32</v>
      </c>
      <c r="L89" s="30" t="s">
        <v>95</v>
      </c>
    </row>
    <row r="90" spans="1:12" x14ac:dyDescent="0.25">
      <c r="A90" s="30" t="s">
        <v>77</v>
      </c>
      <c r="B90" s="30" t="s">
        <v>118</v>
      </c>
      <c r="C90" s="29" t="s">
        <v>107</v>
      </c>
      <c r="D90" s="34">
        <v>45139</v>
      </c>
      <c r="E90" s="30" t="s">
        <v>101</v>
      </c>
      <c r="F90" s="30">
        <v>3</v>
      </c>
      <c r="G90" s="30">
        <v>7</v>
      </c>
      <c r="H90" s="30">
        <v>0</v>
      </c>
      <c r="I90" s="30">
        <v>2</v>
      </c>
      <c r="J90" s="30">
        <v>60</v>
      </c>
      <c r="K90" s="30">
        <v>32</v>
      </c>
      <c r="L90" s="30" t="s">
        <v>95</v>
      </c>
    </row>
    <row r="91" spans="1:12" x14ac:dyDescent="0.25">
      <c r="A91" s="30" t="s">
        <v>77</v>
      </c>
      <c r="B91" s="30" t="s">
        <v>118</v>
      </c>
      <c r="C91" s="29" t="s">
        <v>108</v>
      </c>
      <c r="D91" s="34">
        <v>45627</v>
      </c>
      <c r="E91" s="30" t="s">
        <v>109</v>
      </c>
      <c r="F91" s="30">
        <v>21</v>
      </c>
      <c r="G91" s="30">
        <v>17</v>
      </c>
      <c r="H91" s="30">
        <v>23</v>
      </c>
      <c r="I91" s="30">
        <v>14</v>
      </c>
      <c r="J91" s="30">
        <v>60</v>
      </c>
      <c r="K91" s="30">
        <v>32</v>
      </c>
      <c r="L91" s="30" t="s">
        <v>95</v>
      </c>
    </row>
    <row r="92" spans="1:12" x14ac:dyDescent="0.25">
      <c r="A92" s="30" t="s">
        <v>77</v>
      </c>
      <c r="B92" s="30" t="s">
        <v>118</v>
      </c>
      <c r="C92" s="29" t="s">
        <v>110</v>
      </c>
      <c r="D92" s="34">
        <v>45870</v>
      </c>
      <c r="E92" s="30" t="s">
        <v>109</v>
      </c>
      <c r="F92" s="30">
        <v>32</v>
      </c>
      <c r="G92" s="30">
        <v>16</v>
      </c>
      <c r="H92" s="30">
        <v>18</v>
      </c>
      <c r="I92" s="30">
        <v>1</v>
      </c>
      <c r="J92" s="30">
        <v>60</v>
      </c>
      <c r="K92" s="30">
        <v>32</v>
      </c>
      <c r="L92" s="30" t="s">
        <v>95</v>
      </c>
    </row>
    <row r="93" spans="1:12" x14ac:dyDescent="0.25">
      <c r="A93" s="30" t="s">
        <v>77</v>
      </c>
      <c r="B93" s="30" t="s">
        <v>118</v>
      </c>
      <c r="C93" s="29" t="s">
        <v>111</v>
      </c>
      <c r="D93" s="34">
        <v>45962</v>
      </c>
      <c r="E93" s="30" t="s">
        <v>109</v>
      </c>
      <c r="F93" s="30">
        <v>48</v>
      </c>
      <c r="G93" s="30">
        <v>22</v>
      </c>
      <c r="H93" s="30">
        <v>18</v>
      </c>
      <c r="I93" s="30">
        <v>2</v>
      </c>
      <c r="J93" s="30">
        <v>60</v>
      </c>
      <c r="K93" s="30">
        <v>32</v>
      </c>
      <c r="L93" s="30" t="s">
        <v>95</v>
      </c>
    </row>
    <row r="94" spans="1:12" x14ac:dyDescent="0.25">
      <c r="A94" s="30" t="s">
        <v>77</v>
      </c>
      <c r="B94" s="30" t="s">
        <v>118</v>
      </c>
      <c r="C94" s="29" t="s">
        <v>112</v>
      </c>
      <c r="D94" s="34">
        <v>45931</v>
      </c>
      <c r="E94" s="30" t="s">
        <v>109</v>
      </c>
      <c r="F94" s="30">
        <v>51</v>
      </c>
      <c r="G94" s="30">
        <v>27</v>
      </c>
      <c r="H94" s="30">
        <v>22</v>
      </c>
      <c r="I94" s="30">
        <v>1</v>
      </c>
      <c r="J94" s="30">
        <v>60</v>
      </c>
      <c r="K94" s="30">
        <v>32</v>
      </c>
      <c r="L94" s="30" t="s">
        <v>95</v>
      </c>
    </row>
    <row r="95" spans="1:12" x14ac:dyDescent="0.25">
      <c r="A95" s="30" t="s">
        <v>77</v>
      </c>
      <c r="B95" s="30" t="s">
        <v>118</v>
      </c>
      <c r="C95" s="29" t="s">
        <v>113</v>
      </c>
      <c r="D95" s="30"/>
      <c r="E95" s="30" t="s">
        <v>109</v>
      </c>
      <c r="F95" s="30">
        <v>2</v>
      </c>
      <c r="G95" s="30">
        <v>3</v>
      </c>
      <c r="H95" s="30">
        <v>15</v>
      </c>
      <c r="I95" s="30">
        <v>10</v>
      </c>
      <c r="J95" s="30">
        <v>60</v>
      </c>
      <c r="K95" s="30">
        <v>32</v>
      </c>
      <c r="L95" s="30" t="s">
        <v>95</v>
      </c>
    </row>
    <row r="96" spans="1:12" x14ac:dyDescent="0.25">
      <c r="A96" s="30" t="s">
        <v>77</v>
      </c>
      <c r="B96" s="30" t="s">
        <v>118</v>
      </c>
      <c r="C96" s="29" t="s">
        <v>116</v>
      </c>
      <c r="D96" s="34">
        <v>46054</v>
      </c>
      <c r="E96" s="30" t="s">
        <v>109</v>
      </c>
      <c r="F96" s="30">
        <v>40</v>
      </c>
      <c r="G96" s="30">
        <v>6</v>
      </c>
      <c r="H96" s="30">
        <v>3</v>
      </c>
      <c r="I96" s="30">
        <v>0</v>
      </c>
      <c r="J96" s="30">
        <v>60</v>
      </c>
      <c r="K96" s="30">
        <v>32</v>
      </c>
      <c r="L96" s="30" t="s">
        <v>95</v>
      </c>
    </row>
    <row r="97" spans="1:12" x14ac:dyDescent="0.25">
      <c r="A97" s="30" t="s">
        <v>77</v>
      </c>
      <c r="B97" s="30" t="s">
        <v>118</v>
      </c>
      <c r="C97" s="29" t="s">
        <v>119</v>
      </c>
      <c r="D97" s="34">
        <v>46113</v>
      </c>
      <c r="E97" s="30" t="s">
        <v>103</v>
      </c>
      <c r="F97" s="30">
        <v>2</v>
      </c>
      <c r="G97" s="30">
        <v>2</v>
      </c>
      <c r="H97" s="30">
        <v>0</v>
      </c>
      <c r="I97" s="30">
        <v>0</v>
      </c>
      <c r="J97" s="30">
        <v>60</v>
      </c>
      <c r="K97" s="30">
        <v>32</v>
      </c>
      <c r="L97" s="30" t="s">
        <v>93</v>
      </c>
    </row>
    <row r="98" spans="1:12" x14ac:dyDescent="0.25">
      <c r="A98" s="30" t="s">
        <v>77</v>
      </c>
      <c r="B98" s="30" t="s">
        <v>118</v>
      </c>
      <c r="C98" s="29" t="s">
        <v>120</v>
      </c>
      <c r="D98" s="34">
        <v>46113</v>
      </c>
      <c r="E98" s="30" t="s">
        <v>101</v>
      </c>
      <c r="F98" s="30">
        <v>39</v>
      </c>
      <c r="G98" s="30">
        <v>8</v>
      </c>
      <c r="H98" s="30">
        <v>0</v>
      </c>
      <c r="I98" s="30">
        <v>0</v>
      </c>
      <c r="J98" s="30">
        <v>60</v>
      </c>
      <c r="K98" s="30">
        <v>32</v>
      </c>
      <c r="L98" s="30" t="s">
        <v>95</v>
      </c>
    </row>
    <row r="99" spans="1:12" x14ac:dyDescent="0.25">
      <c r="A99" s="30" t="s">
        <v>78</v>
      </c>
      <c r="B99" s="30" t="s">
        <v>118</v>
      </c>
      <c r="C99" s="29" t="s">
        <v>91</v>
      </c>
      <c r="D99" s="34">
        <v>45962</v>
      </c>
      <c r="E99" s="30" t="s">
        <v>92</v>
      </c>
      <c r="F99" s="30">
        <v>0</v>
      </c>
      <c r="G99" s="30">
        <v>0</v>
      </c>
      <c r="H99" s="30">
        <v>0</v>
      </c>
      <c r="I99" s="30">
        <v>0</v>
      </c>
      <c r="J99" s="30">
        <v>60</v>
      </c>
      <c r="K99" s="30">
        <v>32</v>
      </c>
      <c r="L99" s="30" t="s">
        <v>93</v>
      </c>
    </row>
    <row r="100" spans="1:12" x14ac:dyDescent="0.25">
      <c r="A100" s="30" t="s">
        <v>78</v>
      </c>
      <c r="B100" s="30" t="s">
        <v>118</v>
      </c>
      <c r="C100" s="29" t="s">
        <v>94</v>
      </c>
      <c r="D100" s="34">
        <v>46023</v>
      </c>
      <c r="E100" s="30" t="s">
        <v>92</v>
      </c>
      <c r="F100" s="30">
        <v>29</v>
      </c>
      <c r="G100" s="30">
        <v>21</v>
      </c>
      <c r="H100" s="30">
        <v>12</v>
      </c>
      <c r="I100" s="30">
        <v>1</v>
      </c>
      <c r="J100" s="30">
        <v>60</v>
      </c>
      <c r="K100" s="30">
        <v>32</v>
      </c>
      <c r="L100" s="30" t="s">
        <v>95</v>
      </c>
    </row>
    <row r="101" spans="1:12" x14ac:dyDescent="0.25">
      <c r="A101" s="30" t="s">
        <v>78</v>
      </c>
      <c r="B101" s="30" t="s">
        <v>118</v>
      </c>
      <c r="C101" s="29" t="s">
        <v>121</v>
      </c>
      <c r="D101" s="34">
        <v>46147</v>
      </c>
      <c r="E101" s="30" t="s">
        <v>99</v>
      </c>
      <c r="F101" s="30">
        <v>24</v>
      </c>
      <c r="G101" s="30">
        <v>14</v>
      </c>
      <c r="H101" s="30">
        <v>6</v>
      </c>
      <c r="I101" s="30">
        <v>0</v>
      </c>
      <c r="J101" s="30">
        <v>60</v>
      </c>
      <c r="K101" s="30">
        <v>32</v>
      </c>
      <c r="L101" s="30" t="s">
        <v>95</v>
      </c>
    </row>
    <row r="102" spans="1:12" x14ac:dyDescent="0.25">
      <c r="A102" s="30" t="s">
        <v>78</v>
      </c>
      <c r="B102" s="30" t="s">
        <v>118</v>
      </c>
      <c r="C102" s="29" t="s">
        <v>115</v>
      </c>
      <c r="D102" s="34">
        <v>46023</v>
      </c>
      <c r="E102" s="30" t="s">
        <v>99</v>
      </c>
      <c r="F102" s="30">
        <v>8</v>
      </c>
      <c r="G102" s="30">
        <v>4</v>
      </c>
      <c r="H102" s="30">
        <v>0</v>
      </c>
      <c r="I102" s="30">
        <v>0</v>
      </c>
      <c r="J102" s="30">
        <v>60</v>
      </c>
      <c r="K102" s="30">
        <v>32</v>
      </c>
      <c r="L102" s="30" t="s">
        <v>95</v>
      </c>
    </row>
    <row r="103" spans="1:12" x14ac:dyDescent="0.25">
      <c r="A103" s="30" t="s">
        <v>78</v>
      </c>
      <c r="B103" s="30" t="s">
        <v>118</v>
      </c>
      <c r="C103" s="29" t="s">
        <v>104</v>
      </c>
      <c r="D103" s="34">
        <v>45778</v>
      </c>
      <c r="E103" s="30" t="s">
        <v>103</v>
      </c>
      <c r="F103" s="30">
        <v>13</v>
      </c>
      <c r="G103" s="30">
        <v>4</v>
      </c>
      <c r="H103" s="30">
        <v>3</v>
      </c>
      <c r="I103" s="30">
        <v>0</v>
      </c>
      <c r="J103" s="30">
        <v>60</v>
      </c>
      <c r="K103" s="30">
        <v>32</v>
      </c>
      <c r="L103" s="30" t="s">
        <v>93</v>
      </c>
    </row>
    <row r="104" spans="1:12" x14ac:dyDescent="0.25">
      <c r="A104" s="30" t="s">
        <v>78</v>
      </c>
      <c r="B104" s="30" t="s">
        <v>118</v>
      </c>
      <c r="C104" s="29" t="s">
        <v>106</v>
      </c>
      <c r="D104" s="34">
        <v>45992</v>
      </c>
      <c r="E104" s="30" t="s">
        <v>101</v>
      </c>
      <c r="F104" s="30">
        <v>34</v>
      </c>
      <c r="G104" s="30">
        <v>13</v>
      </c>
      <c r="H104" s="30">
        <v>9</v>
      </c>
      <c r="I104" s="30">
        <v>1</v>
      </c>
      <c r="J104" s="30">
        <v>60</v>
      </c>
      <c r="K104" s="30">
        <v>32</v>
      </c>
      <c r="L104" s="30" t="s">
        <v>95</v>
      </c>
    </row>
    <row r="105" spans="1:12" x14ac:dyDescent="0.25">
      <c r="A105" s="30" t="s">
        <v>78</v>
      </c>
      <c r="B105" s="30" t="s">
        <v>118</v>
      </c>
      <c r="C105" s="29" t="s">
        <v>107</v>
      </c>
      <c r="D105" s="34">
        <v>45139</v>
      </c>
      <c r="E105" s="30" t="s">
        <v>101</v>
      </c>
      <c r="F105" s="30">
        <v>0</v>
      </c>
      <c r="G105" s="30">
        <v>0</v>
      </c>
      <c r="H105" s="30">
        <v>0</v>
      </c>
      <c r="I105" s="30">
        <v>6</v>
      </c>
      <c r="J105" s="30">
        <v>60</v>
      </c>
      <c r="K105" s="30">
        <v>32</v>
      </c>
      <c r="L105" s="30" t="s">
        <v>93</v>
      </c>
    </row>
    <row r="106" spans="1:12" x14ac:dyDescent="0.25">
      <c r="A106" s="30" t="s">
        <v>78</v>
      </c>
      <c r="B106" s="30" t="s">
        <v>118</v>
      </c>
      <c r="C106" s="29" t="s">
        <v>108</v>
      </c>
      <c r="D106" s="34">
        <v>45627</v>
      </c>
      <c r="E106" s="30" t="s">
        <v>109</v>
      </c>
      <c r="F106" s="30">
        <v>11</v>
      </c>
      <c r="G106" s="30">
        <v>9</v>
      </c>
      <c r="H106" s="30">
        <v>17</v>
      </c>
      <c r="I106" s="30">
        <v>13</v>
      </c>
      <c r="J106" s="30">
        <v>60</v>
      </c>
      <c r="K106" s="30">
        <v>32</v>
      </c>
      <c r="L106" s="30" t="s">
        <v>95</v>
      </c>
    </row>
    <row r="107" spans="1:12" x14ac:dyDescent="0.25">
      <c r="A107" s="30" t="s">
        <v>78</v>
      </c>
      <c r="B107" s="30" t="s">
        <v>118</v>
      </c>
      <c r="C107" s="29" t="s">
        <v>110</v>
      </c>
      <c r="D107" s="34">
        <v>45870</v>
      </c>
      <c r="E107" s="30" t="s">
        <v>109</v>
      </c>
      <c r="F107" s="30">
        <v>24</v>
      </c>
      <c r="G107" s="30">
        <v>12</v>
      </c>
      <c r="H107" s="30">
        <v>16</v>
      </c>
      <c r="I107" s="30">
        <v>0</v>
      </c>
      <c r="J107" s="30">
        <v>60</v>
      </c>
      <c r="K107" s="30">
        <v>32</v>
      </c>
      <c r="L107" s="30" t="s">
        <v>95</v>
      </c>
    </row>
    <row r="108" spans="1:12" x14ac:dyDescent="0.25">
      <c r="A108" s="30" t="s">
        <v>78</v>
      </c>
      <c r="B108" s="30" t="s">
        <v>118</v>
      </c>
      <c r="C108" s="29" t="s">
        <v>111</v>
      </c>
      <c r="D108" s="34">
        <v>45962</v>
      </c>
      <c r="E108" s="30" t="s">
        <v>109</v>
      </c>
      <c r="F108" s="30">
        <v>22</v>
      </c>
      <c r="G108" s="30">
        <v>12</v>
      </c>
      <c r="H108" s="30">
        <v>9</v>
      </c>
      <c r="I108" s="30">
        <v>1</v>
      </c>
      <c r="J108" s="30">
        <v>60</v>
      </c>
      <c r="K108" s="30">
        <v>32</v>
      </c>
      <c r="L108" s="30" t="s">
        <v>95</v>
      </c>
    </row>
    <row r="109" spans="1:12" x14ac:dyDescent="0.25">
      <c r="A109" s="30" t="s">
        <v>78</v>
      </c>
      <c r="B109" s="30" t="s">
        <v>118</v>
      </c>
      <c r="C109" s="29" t="s">
        <v>112</v>
      </c>
      <c r="D109" s="34">
        <v>45931</v>
      </c>
      <c r="E109" s="30" t="s">
        <v>109</v>
      </c>
      <c r="F109" s="30">
        <v>24</v>
      </c>
      <c r="G109" s="30">
        <v>16</v>
      </c>
      <c r="H109" s="30">
        <v>14</v>
      </c>
      <c r="I109" s="30">
        <v>3</v>
      </c>
      <c r="J109" s="30">
        <v>60</v>
      </c>
      <c r="K109" s="30">
        <v>32</v>
      </c>
      <c r="L109" s="30" t="s">
        <v>95</v>
      </c>
    </row>
    <row r="110" spans="1:12" x14ac:dyDescent="0.25">
      <c r="A110" s="30" t="s">
        <v>78</v>
      </c>
      <c r="B110" s="30" t="s">
        <v>118</v>
      </c>
      <c r="C110" s="29" t="s">
        <v>113</v>
      </c>
      <c r="D110" s="30"/>
      <c r="E110" s="30" t="s">
        <v>109</v>
      </c>
      <c r="F110" s="30">
        <v>0</v>
      </c>
      <c r="G110" s="30">
        <v>0</v>
      </c>
      <c r="H110" s="30">
        <v>0</v>
      </c>
      <c r="I110" s="30">
        <v>2</v>
      </c>
      <c r="J110" s="30">
        <v>60</v>
      </c>
      <c r="K110" s="30">
        <v>32</v>
      </c>
      <c r="L110" s="30" t="s">
        <v>95</v>
      </c>
    </row>
    <row r="111" spans="1:12" x14ac:dyDescent="0.25">
      <c r="A111" s="30" t="s">
        <v>78</v>
      </c>
      <c r="B111" s="30" t="s">
        <v>118</v>
      </c>
      <c r="C111" s="29" t="s">
        <v>122</v>
      </c>
      <c r="D111" s="30"/>
      <c r="E111" s="30" t="s">
        <v>109</v>
      </c>
      <c r="F111" s="30">
        <v>0</v>
      </c>
      <c r="G111" s="30">
        <v>0</v>
      </c>
      <c r="H111" s="30">
        <v>0</v>
      </c>
      <c r="I111" s="30">
        <v>1</v>
      </c>
      <c r="J111" s="30">
        <v>60</v>
      </c>
      <c r="K111" s="30">
        <v>32</v>
      </c>
      <c r="L111" s="30" t="s">
        <v>95</v>
      </c>
    </row>
    <row r="112" spans="1:12" x14ac:dyDescent="0.25">
      <c r="A112" s="30" t="s">
        <v>78</v>
      </c>
      <c r="B112" s="30" t="s">
        <v>118</v>
      </c>
      <c r="C112" s="29" t="s">
        <v>116</v>
      </c>
      <c r="D112" s="34">
        <v>46054</v>
      </c>
      <c r="E112" s="30" t="s">
        <v>109</v>
      </c>
      <c r="F112" s="30">
        <v>13</v>
      </c>
      <c r="G112" s="30">
        <v>8</v>
      </c>
      <c r="H112" s="30">
        <v>4</v>
      </c>
      <c r="I112" s="30">
        <v>0</v>
      </c>
      <c r="J112" s="30">
        <v>60</v>
      </c>
      <c r="K112" s="30">
        <v>32</v>
      </c>
      <c r="L112" s="30" t="s">
        <v>95</v>
      </c>
    </row>
    <row r="113" spans="1:12" x14ac:dyDescent="0.25">
      <c r="A113" s="30" t="s">
        <v>78</v>
      </c>
      <c r="B113" s="30" t="s">
        <v>118</v>
      </c>
      <c r="C113" s="29" t="s">
        <v>119</v>
      </c>
      <c r="D113" s="34">
        <v>46113</v>
      </c>
      <c r="E113" s="30" t="s">
        <v>103</v>
      </c>
      <c r="F113" s="30">
        <v>0</v>
      </c>
      <c r="G113" s="30">
        <v>0</v>
      </c>
      <c r="H113" s="30">
        <v>0</v>
      </c>
      <c r="I113" s="30">
        <v>0</v>
      </c>
      <c r="J113" s="30">
        <v>60</v>
      </c>
      <c r="K113" s="30">
        <v>32</v>
      </c>
      <c r="L113" s="30" t="s">
        <v>93</v>
      </c>
    </row>
    <row r="114" spans="1:12" x14ac:dyDescent="0.25">
      <c r="A114" s="30" t="s">
        <v>78</v>
      </c>
      <c r="B114" s="30" t="s">
        <v>118</v>
      </c>
      <c r="C114" s="29" t="s">
        <v>120</v>
      </c>
      <c r="D114" s="34">
        <v>46113</v>
      </c>
      <c r="E114" s="30" t="s">
        <v>101</v>
      </c>
      <c r="F114" s="30">
        <v>43</v>
      </c>
      <c r="G114" s="30">
        <v>11</v>
      </c>
      <c r="H114" s="30">
        <v>13</v>
      </c>
      <c r="I114" s="30">
        <v>0</v>
      </c>
      <c r="J114" s="30">
        <v>60</v>
      </c>
      <c r="K114" s="30">
        <v>32</v>
      </c>
      <c r="L114" s="30" t="s">
        <v>95</v>
      </c>
    </row>
    <row r="117" ht="30" customHeight="1" spans="1:8" x14ac:dyDescent="0.25">
      <c r="A117" s="35" t="s">
        <v>123</v>
      </c>
      <c r="B117" s="35"/>
      <c r="C117" s="35"/>
      <c r="D117" s="35"/>
      <c r="E117" s="35"/>
      <c r="F117" s="35"/>
      <c r="G117" s="35"/>
      <c r="H117" s="35"/>
    </row>
  </sheetData>
  <mergeCells count="5">
    <mergeCell ref="A1:F1"/>
    <mergeCell ref="A2:H2"/>
    <mergeCell ref="A4:E4"/>
    <mergeCell ref="A15:H15"/>
    <mergeCell ref="A117:H117"/>
  </mergeCells>
  <pageMargins left="0.75" right="0.75" top="1" bottom="1" header="0.511811023622047" footer="0.511811023622047"/>
  <pageSetup paperSize="9" orientation="portrait" horizontalDpi="300" verticalDpi="300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9A227"/>
  </sheetPr>
  <dimension ref="A1:N301"/>
  <sheetViews>
    <sheetView workbookViewId="0" zoomScale="100" zoomScaleNormal="100">
      <pane ySplit="1" topLeftCell="A29" activePane="bottomLeft" state="frozen"/>
      <selection pane="bottomLeft" activeCell="D34" sqref="D34"/>
    </sheetView>
  </sheetViews>
  <sheetFormatPr defaultRowHeight="15" outlineLevelRow="0" outlineLevelCol="0" x14ac:dyDescent="0" defaultColWidth="8.7109375"/>
  <cols>
    <col min="1" max="1" width="14" customWidth="1"/>
    <col min="2" max="2" width="63.7109375" customWidth="1"/>
    <col min="3" max="3" width="20" customWidth="1"/>
    <col min="4" max="4" width="18" customWidth="1"/>
    <col min="5" max="5" width="22" customWidth="1"/>
    <col min="6" max="7" width="16" customWidth="1"/>
    <col min="8" max="8" width="10" customWidth="1"/>
    <col min="9" max="9" width="32.7109375" customWidth="1"/>
    <col min="10" max="10" width="30.5703125" customWidth="1"/>
    <col min="11" max="12" width="12" customWidth="1"/>
    <col min="13" max="13" width="22" customWidth="1"/>
    <col min="14" max="14" width="14" customWidth="1"/>
  </cols>
  <sheetData>
    <row r="1" ht="21.75" customHeight="1" spans="1:14" x14ac:dyDescent="0.25">
      <c r="A1" s="13" t="s">
        <v>124</v>
      </c>
      <c r="B1" s="13" t="s">
        <v>125</v>
      </c>
      <c r="C1" s="13" t="s">
        <v>126</v>
      </c>
      <c r="D1" s="13" t="s">
        <v>127</v>
      </c>
      <c r="E1" s="13" t="s">
        <v>128</v>
      </c>
      <c r="F1" s="13" t="s">
        <v>129</v>
      </c>
      <c r="G1" s="13" t="s">
        <v>130</v>
      </c>
      <c r="H1" s="13" t="s">
        <v>83</v>
      </c>
      <c r="I1" s="13" t="s">
        <v>36</v>
      </c>
      <c r="J1" s="13" t="s">
        <v>131</v>
      </c>
      <c r="K1" s="13" t="s">
        <v>89</v>
      </c>
      <c r="L1" s="13" t="s">
        <v>132</v>
      </c>
      <c r="M1" s="13" t="s">
        <v>133</v>
      </c>
      <c r="N1" s="13" t="s">
        <v>134</v>
      </c>
    </row>
    <row r="2" ht="15" customHeight="1" spans="1:11" x14ac:dyDescent="0.25">
      <c r="A2" s="36">
        <v>46217.5</v>
      </c>
      <c r="B2" t="s">
        <v>135</v>
      </c>
      <c r="C2" t="s">
        <v>136</v>
      </c>
      <c r="D2" t="s">
        <v>137</v>
      </c>
      <c r="E2" t="s">
        <v>138</v>
      </c>
      <c r="F2" t="s">
        <v>139</v>
      </c>
      <c r="G2" t="s">
        <v>140</v>
      </c>
      <c r="H2" t="s">
        <v>141</v>
      </c>
      <c r="I2" t="s">
        <v>49</v>
      </c>
      <c r="J2" t="s">
        <v>142</v>
      </c>
      <c r="K2" t="s">
        <v>143</v>
      </c>
    </row>
    <row r="3" ht="15" customHeight="1" spans="1:12" x14ac:dyDescent="0.25">
      <c r="A3" s="36">
        <v>46213.5</v>
      </c>
      <c r="B3" t="s">
        <v>144</v>
      </c>
      <c r="C3" t="s">
        <v>145</v>
      </c>
      <c r="D3" t="s">
        <v>146</v>
      </c>
      <c r="E3" t="s">
        <v>147</v>
      </c>
      <c r="F3" t="s">
        <v>139</v>
      </c>
      <c r="G3" t="s">
        <v>148</v>
      </c>
      <c r="H3" t="s">
        <v>149</v>
      </c>
      <c r="I3" t="s">
        <v>49</v>
      </c>
      <c r="J3" t="s">
        <v>150</v>
      </c>
      <c r="K3" t="s">
        <v>151</v>
      </c>
      <c r="L3" t="s">
        <v>152</v>
      </c>
    </row>
    <row r="4" ht="15" customHeight="1" spans="1:11" x14ac:dyDescent="0.25">
      <c r="A4" s="36">
        <v>46216.5</v>
      </c>
      <c r="B4" t="s">
        <v>153</v>
      </c>
      <c r="C4" t="s">
        <v>145</v>
      </c>
      <c r="D4" t="s">
        <v>154</v>
      </c>
      <c r="E4" t="s">
        <v>155</v>
      </c>
      <c r="F4" t="s">
        <v>139</v>
      </c>
      <c r="G4" t="s">
        <v>156</v>
      </c>
      <c r="H4" t="s">
        <v>157</v>
      </c>
      <c r="I4" t="s">
        <v>50</v>
      </c>
      <c r="J4" t="s">
        <v>158</v>
      </c>
      <c r="K4" t="s">
        <v>143</v>
      </c>
    </row>
    <row r="5" ht="15" customHeight="1" spans="1:12" x14ac:dyDescent="0.25">
      <c r="A5" s="36">
        <v>46204.5</v>
      </c>
      <c r="B5" t="s">
        <v>159</v>
      </c>
      <c r="C5" t="s">
        <v>145</v>
      </c>
      <c r="D5" t="s">
        <v>160</v>
      </c>
      <c r="E5" t="s">
        <v>161</v>
      </c>
      <c r="F5" t="s">
        <v>162</v>
      </c>
      <c r="G5" t="s">
        <v>140</v>
      </c>
      <c r="H5" t="s">
        <v>141</v>
      </c>
      <c r="I5" t="s">
        <v>163</v>
      </c>
      <c r="J5" t="s">
        <v>142</v>
      </c>
      <c r="K5" t="s">
        <v>151</v>
      </c>
      <c r="L5" t="s">
        <v>152</v>
      </c>
    </row>
    <row r="6" ht="15" customHeight="1" spans="1:11" x14ac:dyDescent="0.25">
      <c r="A6" s="36">
        <v>46210.5</v>
      </c>
      <c r="B6" t="s">
        <v>164</v>
      </c>
      <c r="C6" t="s">
        <v>165</v>
      </c>
      <c r="D6" t="s">
        <v>166</v>
      </c>
      <c r="E6" t="s">
        <v>167</v>
      </c>
      <c r="F6" t="s">
        <v>168</v>
      </c>
      <c r="G6" t="s">
        <v>169</v>
      </c>
      <c r="H6" t="s">
        <v>170</v>
      </c>
      <c r="I6" t="s">
        <v>49</v>
      </c>
      <c r="J6" t="s">
        <v>171</v>
      </c>
      <c r="K6" t="s">
        <v>143</v>
      </c>
    </row>
    <row r="7" ht="15" customHeight="1" spans="1:11" x14ac:dyDescent="0.25">
      <c r="A7" s="36">
        <v>46206.5</v>
      </c>
      <c r="B7" t="s">
        <v>172</v>
      </c>
      <c r="C7" t="s">
        <v>173</v>
      </c>
      <c r="D7" t="s">
        <v>174</v>
      </c>
      <c r="E7" t="s">
        <v>175</v>
      </c>
      <c r="F7" t="s">
        <v>168</v>
      </c>
      <c r="G7" t="s">
        <v>176</v>
      </c>
      <c r="H7" t="s">
        <v>99</v>
      </c>
      <c r="I7" t="s">
        <v>49</v>
      </c>
      <c r="J7" t="s">
        <v>177</v>
      </c>
      <c r="K7" t="s">
        <v>151</v>
      </c>
    </row>
    <row r="8" ht="15" customHeight="1" spans="1:11" x14ac:dyDescent="0.25">
      <c r="A8" s="36">
        <v>46219.5</v>
      </c>
      <c r="B8" t="s">
        <v>178</v>
      </c>
      <c r="C8" t="s">
        <v>145</v>
      </c>
      <c r="D8" t="s">
        <v>179</v>
      </c>
      <c r="E8" t="s">
        <v>180</v>
      </c>
      <c r="F8" t="s">
        <v>139</v>
      </c>
      <c r="G8" t="s">
        <v>181</v>
      </c>
      <c r="H8" t="s">
        <v>157</v>
      </c>
      <c r="I8" t="s">
        <v>49</v>
      </c>
      <c r="J8" t="s">
        <v>113</v>
      </c>
      <c r="K8" t="s">
        <v>143</v>
      </c>
    </row>
    <row r="9" ht="15" customHeight="1" spans="1:11" x14ac:dyDescent="0.25">
      <c r="A9" s="36">
        <v>46212.5</v>
      </c>
      <c r="B9" t="s">
        <v>182</v>
      </c>
      <c r="C9" t="s">
        <v>183</v>
      </c>
      <c r="D9" t="s">
        <v>184</v>
      </c>
      <c r="E9" t="s">
        <v>185</v>
      </c>
      <c r="F9" t="s">
        <v>168</v>
      </c>
      <c r="G9" t="s">
        <v>186</v>
      </c>
      <c r="H9" t="s">
        <v>141</v>
      </c>
      <c r="I9" t="s">
        <v>49</v>
      </c>
      <c r="J9" t="s">
        <v>187</v>
      </c>
      <c r="K9" t="s">
        <v>151</v>
      </c>
    </row>
    <row r="10" ht="15" customHeight="1" spans="1:11" x14ac:dyDescent="0.25">
      <c r="A10" s="36">
        <v>46205.5</v>
      </c>
      <c r="B10" t="s">
        <v>188</v>
      </c>
      <c r="C10" t="s">
        <v>165</v>
      </c>
      <c r="D10" t="s">
        <v>189</v>
      </c>
      <c r="E10" t="s">
        <v>190</v>
      </c>
      <c r="F10" t="s">
        <v>168</v>
      </c>
      <c r="G10" t="s">
        <v>191</v>
      </c>
      <c r="H10" t="s">
        <v>97</v>
      </c>
      <c r="I10" t="s">
        <v>49</v>
      </c>
      <c r="J10" t="s">
        <v>192</v>
      </c>
      <c r="K10" t="s">
        <v>151</v>
      </c>
    </row>
    <row r="11" ht="15" customHeight="1" spans="1:11" x14ac:dyDescent="0.25">
      <c r="A11" s="36">
        <v>46226.5</v>
      </c>
      <c r="B11" t="s">
        <v>193</v>
      </c>
      <c r="C11" t="s">
        <v>183</v>
      </c>
      <c r="D11" t="s">
        <v>194</v>
      </c>
      <c r="E11" t="s">
        <v>195</v>
      </c>
      <c r="F11" t="s">
        <v>168</v>
      </c>
      <c r="G11" t="s">
        <v>196</v>
      </c>
      <c r="H11" t="s">
        <v>157</v>
      </c>
      <c r="I11" t="s">
        <v>197</v>
      </c>
      <c r="J11" t="s">
        <v>192</v>
      </c>
      <c r="K11" t="s">
        <v>198</v>
      </c>
    </row>
    <row r="12" ht="15" customHeight="1" spans="1:12" x14ac:dyDescent="0.25">
      <c r="A12" s="36"/>
      <c r="B12" t="s">
        <v>199</v>
      </c>
      <c r="C12" t="s">
        <v>165</v>
      </c>
      <c r="G12" t="s">
        <v>200</v>
      </c>
      <c r="H12" t="s">
        <v>141</v>
      </c>
      <c r="I12" t="s">
        <v>51</v>
      </c>
      <c r="J12" t="s">
        <v>201</v>
      </c>
      <c r="K12" t="s">
        <v>151</v>
      </c>
      <c r="L12" t="s">
        <v>152</v>
      </c>
    </row>
    <row r="13" ht="15" customHeight="1" spans="1:11" x14ac:dyDescent="0.25">
      <c r="A13" s="36">
        <v>46204</v>
      </c>
      <c r="B13" t="s">
        <v>202</v>
      </c>
      <c r="C13" t="s">
        <v>203</v>
      </c>
      <c r="D13" t="s">
        <v>204</v>
      </c>
      <c r="E13" t="s">
        <v>205</v>
      </c>
      <c r="F13" t="s">
        <v>206</v>
      </c>
      <c r="G13" t="s">
        <v>140</v>
      </c>
      <c r="H13" t="s">
        <v>141</v>
      </c>
      <c r="I13" t="s">
        <v>51</v>
      </c>
      <c r="J13" t="s">
        <v>207</v>
      </c>
      <c r="K13" t="s">
        <v>151</v>
      </c>
    </row>
    <row r="14" ht="15" customHeight="1" spans="1:11" x14ac:dyDescent="0.25">
      <c r="A14" s="36">
        <v>46206</v>
      </c>
      <c r="B14" t="s">
        <v>202</v>
      </c>
      <c r="C14" t="s">
        <v>203</v>
      </c>
      <c r="D14" t="s">
        <v>204</v>
      </c>
      <c r="E14" t="s">
        <v>205</v>
      </c>
      <c r="F14" t="s">
        <v>206</v>
      </c>
      <c r="G14" t="s">
        <v>140</v>
      </c>
      <c r="H14" t="s">
        <v>141</v>
      </c>
      <c r="I14" t="s">
        <v>51</v>
      </c>
      <c r="J14" t="s">
        <v>208</v>
      </c>
      <c r="K14" t="s">
        <v>151</v>
      </c>
    </row>
    <row r="15" ht="15" customHeight="1" spans="1:12" x14ac:dyDescent="0.25">
      <c r="A15" s="36">
        <v>46213.5</v>
      </c>
      <c r="B15" t="s">
        <v>209</v>
      </c>
      <c r="C15" t="s">
        <v>183</v>
      </c>
      <c r="D15" t="s">
        <v>210</v>
      </c>
      <c r="E15" t="s">
        <v>211</v>
      </c>
      <c r="F15" t="s">
        <v>212</v>
      </c>
      <c r="G15" t="s">
        <v>213</v>
      </c>
      <c r="H15" t="s">
        <v>157</v>
      </c>
      <c r="I15" t="s">
        <v>49</v>
      </c>
      <c r="J15" t="s">
        <v>214</v>
      </c>
      <c r="K15" t="s">
        <v>151</v>
      </c>
      <c r="L15" t="s">
        <v>152</v>
      </c>
    </row>
    <row r="16" ht="15" customHeight="1" spans="1:11" x14ac:dyDescent="0.25">
      <c r="A16" s="36">
        <v>46213.5</v>
      </c>
      <c r="B16" t="s">
        <v>215</v>
      </c>
      <c r="C16" t="s">
        <v>183</v>
      </c>
      <c r="D16" t="s">
        <v>216</v>
      </c>
      <c r="E16" t="s">
        <v>217</v>
      </c>
      <c r="F16" t="s">
        <v>218</v>
      </c>
      <c r="G16" t="s">
        <v>219</v>
      </c>
      <c r="H16" t="s">
        <v>157</v>
      </c>
      <c r="I16" t="s">
        <v>51</v>
      </c>
      <c r="J16" t="s">
        <v>220</v>
      </c>
      <c r="K16" t="s">
        <v>143</v>
      </c>
    </row>
    <row r="17" ht="15" customHeight="1" spans="1:11" x14ac:dyDescent="0.25">
      <c r="A17" s="36">
        <v>46216.5</v>
      </c>
      <c r="B17" t="s">
        <v>221</v>
      </c>
      <c r="C17" t="s">
        <v>222</v>
      </c>
      <c r="D17" t="s">
        <v>223</v>
      </c>
      <c r="E17" t="s">
        <v>224</v>
      </c>
      <c r="F17" t="s">
        <v>168</v>
      </c>
      <c r="G17" t="s">
        <v>140</v>
      </c>
      <c r="H17" t="s">
        <v>141</v>
      </c>
      <c r="I17" t="s">
        <v>51</v>
      </c>
      <c r="J17" t="s">
        <v>225</v>
      </c>
      <c r="K17" t="s">
        <v>143</v>
      </c>
    </row>
    <row r="18" ht="15" customHeight="1" spans="1:11" x14ac:dyDescent="0.25">
      <c r="A18" s="36">
        <v>46217.5</v>
      </c>
      <c r="B18" t="s">
        <v>226</v>
      </c>
      <c r="C18" t="s">
        <v>227</v>
      </c>
      <c r="D18" t="s">
        <v>228</v>
      </c>
      <c r="E18" t="s">
        <v>229</v>
      </c>
      <c r="F18" t="s">
        <v>230</v>
      </c>
      <c r="G18" t="s">
        <v>231</v>
      </c>
      <c r="H18" t="s">
        <v>157</v>
      </c>
      <c r="I18" t="s">
        <v>49</v>
      </c>
      <c r="J18" t="s">
        <v>113</v>
      </c>
      <c r="K18" t="s">
        <v>151</v>
      </c>
    </row>
    <row r="19" ht="15" customHeight="1" spans="1:11" x14ac:dyDescent="0.25">
      <c r="A19" s="36">
        <v>46223.5</v>
      </c>
      <c r="B19" t="s">
        <v>232</v>
      </c>
      <c r="C19" t="s">
        <v>233</v>
      </c>
      <c r="D19" t="s">
        <v>234</v>
      </c>
      <c r="E19" t="s">
        <v>235</v>
      </c>
      <c r="F19" t="s">
        <v>139</v>
      </c>
      <c r="G19" t="s">
        <v>236</v>
      </c>
      <c r="H19" t="s">
        <v>237</v>
      </c>
      <c r="I19" t="s">
        <v>50</v>
      </c>
      <c r="J19" t="s">
        <v>238</v>
      </c>
      <c r="K19" t="s">
        <v>198</v>
      </c>
    </row>
    <row r="20" ht="15" customHeight="1" spans="1:11" x14ac:dyDescent="0.25">
      <c r="A20" s="36">
        <v>46218.5</v>
      </c>
      <c r="B20" t="s">
        <v>239</v>
      </c>
      <c r="C20" t="s">
        <v>240</v>
      </c>
      <c r="D20" t="s">
        <v>241</v>
      </c>
      <c r="E20" t="s">
        <v>242</v>
      </c>
      <c r="F20" t="s">
        <v>243</v>
      </c>
      <c r="G20" t="s">
        <v>244</v>
      </c>
      <c r="H20" t="s">
        <v>149</v>
      </c>
      <c r="I20" t="s">
        <v>50</v>
      </c>
      <c r="J20" t="s">
        <v>245</v>
      </c>
      <c r="K20" t="s">
        <v>143</v>
      </c>
    </row>
    <row r="21" ht="15" customHeight="1" spans="1:12" x14ac:dyDescent="0.25">
      <c r="A21" s="36"/>
      <c r="B21" t="s">
        <v>246</v>
      </c>
      <c r="I21" t="s">
        <v>49</v>
      </c>
      <c r="K21" t="s">
        <v>151</v>
      </c>
      <c r="L21" t="s">
        <v>152</v>
      </c>
    </row>
    <row r="22" ht="15" customHeight="1" spans="1:11" x14ac:dyDescent="0.25">
      <c r="A22" s="36">
        <v>46219.5</v>
      </c>
      <c r="B22" t="s">
        <v>247</v>
      </c>
      <c r="C22" t="s">
        <v>183</v>
      </c>
      <c r="D22" t="s">
        <v>248</v>
      </c>
      <c r="E22" t="s">
        <v>249</v>
      </c>
      <c r="F22" t="s">
        <v>250</v>
      </c>
      <c r="G22" t="s">
        <v>251</v>
      </c>
      <c r="H22" t="s">
        <v>252</v>
      </c>
      <c r="I22" t="s">
        <v>49</v>
      </c>
      <c r="J22" t="s">
        <v>253</v>
      </c>
      <c r="K22" t="s">
        <v>143</v>
      </c>
    </row>
    <row r="23" ht="15" customHeight="1" spans="1:11" x14ac:dyDescent="0.25">
      <c r="A23" s="36">
        <v>46224.5</v>
      </c>
      <c r="B23" t="s">
        <v>254</v>
      </c>
      <c r="C23" t="s">
        <v>255</v>
      </c>
      <c r="D23" t="s">
        <v>256</v>
      </c>
      <c r="E23" t="s">
        <v>257</v>
      </c>
      <c r="F23" t="s">
        <v>258</v>
      </c>
      <c r="G23" t="s">
        <v>259</v>
      </c>
      <c r="H23" t="s">
        <v>149</v>
      </c>
      <c r="I23" t="s">
        <v>50</v>
      </c>
      <c r="J23" t="s">
        <v>260</v>
      </c>
      <c r="K23" t="s">
        <v>198</v>
      </c>
    </row>
    <row r="24" ht="15" customHeight="1" spans="1:11" x14ac:dyDescent="0.25">
      <c r="A24" s="36">
        <v>46209</v>
      </c>
      <c r="B24" t="s">
        <v>261</v>
      </c>
      <c r="G24" t="s">
        <v>140</v>
      </c>
      <c r="H24" t="s">
        <v>141</v>
      </c>
      <c r="I24" t="s">
        <v>51</v>
      </c>
      <c r="K24" t="s">
        <v>151</v>
      </c>
    </row>
    <row r="25" ht="15" customHeight="1" spans="1:11" x14ac:dyDescent="0.25">
      <c r="A25" s="36">
        <v>46220.5</v>
      </c>
      <c r="B25" t="s">
        <v>262</v>
      </c>
      <c r="C25" t="s">
        <v>183</v>
      </c>
      <c r="D25" t="s">
        <v>263</v>
      </c>
      <c r="E25" t="s">
        <v>264</v>
      </c>
      <c r="F25" t="s">
        <v>139</v>
      </c>
      <c r="G25" t="s">
        <v>265</v>
      </c>
      <c r="H25" t="s">
        <v>266</v>
      </c>
      <c r="I25" t="s">
        <v>49</v>
      </c>
      <c r="J25" t="s">
        <v>113</v>
      </c>
      <c r="K25" t="s">
        <v>143</v>
      </c>
    </row>
    <row r="26" ht="15" customHeight="1" spans="1:11" x14ac:dyDescent="0.25">
      <c r="A26" s="36">
        <v>46225.5</v>
      </c>
      <c r="B26" t="s">
        <v>267</v>
      </c>
      <c r="C26" t="s">
        <v>136</v>
      </c>
      <c r="D26" t="s">
        <v>268</v>
      </c>
      <c r="E26" t="s">
        <v>269</v>
      </c>
      <c r="F26" t="s">
        <v>168</v>
      </c>
      <c r="G26" t="s">
        <v>270</v>
      </c>
      <c r="H26" t="s">
        <v>271</v>
      </c>
      <c r="I26" t="s">
        <v>50</v>
      </c>
      <c r="J26" t="s">
        <v>171</v>
      </c>
      <c r="K26" t="s">
        <v>198</v>
      </c>
    </row>
    <row r="27" ht="15" customHeight="1" spans="1:12" x14ac:dyDescent="0.25">
      <c r="A27" s="36">
        <v>46211</v>
      </c>
      <c r="B27" t="s">
        <v>272</v>
      </c>
      <c r="C27" t="s">
        <v>255</v>
      </c>
      <c r="D27" t="s">
        <v>273</v>
      </c>
      <c r="E27" t="s">
        <v>274</v>
      </c>
      <c r="F27" t="s">
        <v>275</v>
      </c>
      <c r="G27" t="s">
        <v>276</v>
      </c>
      <c r="H27" t="s">
        <v>149</v>
      </c>
      <c r="I27" t="s">
        <v>50</v>
      </c>
      <c r="J27" t="s">
        <v>192</v>
      </c>
      <c r="K27" t="s">
        <v>151</v>
      </c>
      <c r="L27" t="s">
        <v>152</v>
      </c>
    </row>
    <row r="28" ht="15" customHeight="1" spans="1:12" x14ac:dyDescent="0.25">
      <c r="A28" s="36">
        <v>46216</v>
      </c>
      <c r="B28" t="s">
        <v>277</v>
      </c>
      <c r="I28" t="s">
        <v>50</v>
      </c>
      <c r="K28" t="s">
        <v>151</v>
      </c>
      <c r="L28" t="s">
        <v>278</v>
      </c>
    </row>
    <row r="29" ht="15" customHeight="1" spans="1:10" x14ac:dyDescent="0.25">
      <c r="A29" s="36">
        <v>46223.5</v>
      </c>
      <c r="B29" t="s">
        <v>279</v>
      </c>
      <c r="C29" t="s">
        <v>280</v>
      </c>
      <c r="D29" t="s">
        <v>281</v>
      </c>
      <c r="E29" t="s">
        <v>282</v>
      </c>
      <c r="F29" t="s">
        <v>283</v>
      </c>
      <c r="G29" t="s">
        <v>284</v>
      </c>
      <c r="H29" t="s">
        <v>157</v>
      </c>
      <c r="I29" t="s">
        <v>50</v>
      </c>
      <c r="J29" t="s">
        <v>142</v>
      </c>
    </row>
    <row r="30" ht="15" customHeight="1" spans="1:10" x14ac:dyDescent="0.25">
      <c r="A30" s="36">
        <v>46234.5</v>
      </c>
      <c r="B30" t="s">
        <v>285</v>
      </c>
      <c r="C30" t="s">
        <v>286</v>
      </c>
      <c r="D30" t="s">
        <v>287</v>
      </c>
      <c r="E30" t="s">
        <v>288</v>
      </c>
      <c r="F30" t="s">
        <v>168</v>
      </c>
      <c r="G30" t="s">
        <v>140</v>
      </c>
      <c r="H30" t="s">
        <v>141</v>
      </c>
      <c r="I30" t="s">
        <v>50</v>
      </c>
      <c r="J30" t="s">
        <v>289</v>
      </c>
    </row>
    <row r="31" ht="15" customHeight="1" spans="1:10" x14ac:dyDescent="0.25">
      <c r="A31" s="36">
        <v>46239.5</v>
      </c>
      <c r="B31" t="s">
        <v>290</v>
      </c>
      <c r="C31" t="s">
        <v>136</v>
      </c>
      <c r="D31" t="s">
        <v>291</v>
      </c>
      <c r="E31" t="s">
        <v>292</v>
      </c>
      <c r="F31" t="s">
        <v>139</v>
      </c>
      <c r="G31" t="s">
        <v>293</v>
      </c>
      <c r="H31" t="s">
        <v>294</v>
      </c>
      <c r="I31" t="s">
        <v>50</v>
      </c>
      <c r="J31" t="s">
        <v>238</v>
      </c>
    </row>
    <row r="32" ht="15" customHeight="1" spans="1:9" x14ac:dyDescent="0.25">
      <c r="A32" s="36"/>
      <c r="B32" t="s">
        <v>199</v>
      </c>
      <c r="I32" t="s">
        <v>51</v>
      </c>
    </row>
    <row r="33" ht="15" customHeight="1" spans="1:10" x14ac:dyDescent="0.25">
      <c r="A33" s="36">
        <v>46223.5</v>
      </c>
      <c r="B33" t="s">
        <v>295</v>
      </c>
      <c r="C33" t="s">
        <v>255</v>
      </c>
      <c r="D33" t="s">
        <v>296</v>
      </c>
      <c r="E33" t="s">
        <v>297</v>
      </c>
      <c r="F33" t="s">
        <v>168</v>
      </c>
      <c r="G33" t="s">
        <v>298</v>
      </c>
      <c r="H33" t="s">
        <v>299</v>
      </c>
      <c r="I33" t="s">
        <v>50</v>
      </c>
      <c r="J33" t="s">
        <v>192</v>
      </c>
    </row>
    <row r="34" ht="15" customHeight="1" spans="1:9" x14ac:dyDescent="0.25">
      <c r="A34" s="36"/>
      <c r="B34" t="s">
        <v>300</v>
      </c>
      <c r="I34" t="s">
        <v>49</v>
      </c>
    </row>
    <row r="35" ht="15" customHeight="1" spans="1:10" x14ac:dyDescent="0.25">
      <c r="A35" s="36">
        <v>46224.5</v>
      </c>
      <c r="B35" t="s">
        <v>301</v>
      </c>
      <c r="C35" t="s">
        <v>183</v>
      </c>
      <c r="D35" t="s">
        <v>302</v>
      </c>
      <c r="E35" t="s">
        <v>303</v>
      </c>
      <c r="F35" t="s">
        <v>139</v>
      </c>
      <c r="G35" t="s">
        <v>304</v>
      </c>
      <c r="H35" t="s">
        <v>305</v>
      </c>
      <c r="I35" t="s">
        <v>51</v>
      </c>
      <c r="J35" t="s">
        <v>306</v>
      </c>
    </row>
    <row r="36" ht="15" customHeight="1" spans="1:10" x14ac:dyDescent="0.25">
      <c r="A36" s="36">
        <v>46241.5</v>
      </c>
      <c r="B36" t="s">
        <v>307</v>
      </c>
      <c r="C36" t="s">
        <v>165</v>
      </c>
      <c r="D36" t="s">
        <v>308</v>
      </c>
      <c r="E36" t="s">
        <v>309</v>
      </c>
      <c r="F36" t="s">
        <v>275</v>
      </c>
      <c r="G36" t="s">
        <v>310</v>
      </c>
      <c r="H36" t="s">
        <v>311</v>
      </c>
      <c r="I36" t="s">
        <v>49</v>
      </c>
      <c r="J36" t="s">
        <v>312</v>
      </c>
    </row>
    <row r="37" ht="15" customHeight="1" spans="1:12" x14ac:dyDescent="0.25">
      <c r="A37" s="36"/>
      <c r="B37" t="s">
        <v>313</v>
      </c>
      <c r="I37" t="s">
        <v>50</v>
      </c>
      <c r="K37" t="s">
        <v>151</v>
      </c>
      <c r="L37" t="s">
        <v>278</v>
      </c>
    </row>
    <row r="38" ht="15" customHeight="1" spans="1:13" x14ac:dyDescent="0.25">
      <c r="A38" s="36">
        <v>46219.5</v>
      </c>
      <c r="B38" t="s">
        <v>314</v>
      </c>
      <c r="C38" t="s">
        <v>146</v>
      </c>
      <c r="D38" t="s">
        <v>315</v>
      </c>
      <c r="E38" t="s">
        <v>316</v>
      </c>
      <c r="F38" t="s">
        <v>243</v>
      </c>
      <c r="G38" t="s">
        <v>146</v>
      </c>
      <c r="H38" t="s">
        <v>146</v>
      </c>
      <c r="I38" t="s">
        <v>197</v>
      </c>
      <c r="J38" t="s">
        <v>317</v>
      </c>
      <c r="K38" t="s">
        <v>151</v>
      </c>
      <c r="L38" t="s">
        <v>152</v>
      </c>
      <c r="M38" t="s">
        <v>318</v>
      </c>
    </row>
    <row r="39" ht="15" customHeight="1" spans="1:10" x14ac:dyDescent="0.25">
      <c r="A39" s="36">
        <v>46255.5</v>
      </c>
      <c r="B39" t="s">
        <v>319</v>
      </c>
      <c r="C39" t="s">
        <v>183</v>
      </c>
      <c r="D39" t="s">
        <v>320</v>
      </c>
      <c r="E39" t="s">
        <v>321</v>
      </c>
      <c r="F39" t="s">
        <v>283</v>
      </c>
      <c r="G39" t="s">
        <v>322</v>
      </c>
      <c r="H39" t="s">
        <v>97</v>
      </c>
      <c r="I39" t="s">
        <v>49</v>
      </c>
      <c r="J39" t="s">
        <v>323</v>
      </c>
    </row>
    <row r="40" ht="15" customHeight="1" spans="1:10" x14ac:dyDescent="0.25">
      <c r="A40" s="36">
        <v>46226.5</v>
      </c>
      <c r="B40" t="s">
        <v>324</v>
      </c>
      <c r="C40" t="s">
        <v>325</v>
      </c>
      <c r="D40" t="s">
        <v>326</v>
      </c>
      <c r="E40" t="s">
        <v>327</v>
      </c>
      <c r="F40" t="s">
        <v>206</v>
      </c>
      <c r="G40" t="s">
        <v>328</v>
      </c>
      <c r="H40" t="s">
        <v>141</v>
      </c>
      <c r="I40" t="s">
        <v>50</v>
      </c>
      <c r="J40" t="s">
        <v>329</v>
      </c>
    </row>
    <row r="41" ht="15" customHeight="1" spans="1:10" x14ac:dyDescent="0.25">
      <c r="A41" s="36">
        <v>46232.5</v>
      </c>
      <c r="B41" t="s">
        <v>330</v>
      </c>
      <c r="C41" t="s">
        <v>255</v>
      </c>
      <c r="D41" t="s">
        <v>331</v>
      </c>
      <c r="E41" t="s">
        <v>332</v>
      </c>
      <c r="F41" t="s">
        <v>283</v>
      </c>
      <c r="G41" t="s">
        <v>333</v>
      </c>
      <c r="H41" t="s">
        <v>97</v>
      </c>
      <c r="I41" t="s">
        <v>49</v>
      </c>
      <c r="J41" t="s">
        <v>289</v>
      </c>
    </row>
    <row r="42" ht="15" customHeight="1" spans="1:10" x14ac:dyDescent="0.25">
      <c r="A42" s="36">
        <v>46232.5</v>
      </c>
      <c r="B42" t="s">
        <v>334</v>
      </c>
      <c r="C42" t="s">
        <v>233</v>
      </c>
      <c r="D42" t="s">
        <v>335</v>
      </c>
      <c r="E42" t="s">
        <v>336</v>
      </c>
      <c r="F42" t="s">
        <v>168</v>
      </c>
      <c r="G42" t="s">
        <v>337</v>
      </c>
      <c r="H42" t="s">
        <v>311</v>
      </c>
      <c r="I42" t="s">
        <v>49</v>
      </c>
      <c r="J42" t="s">
        <v>192</v>
      </c>
    </row>
    <row r="43" ht="15" customHeight="1" spans="1:10" x14ac:dyDescent="0.25">
      <c r="A43" s="36">
        <v>46238.5</v>
      </c>
      <c r="B43" t="s">
        <v>338</v>
      </c>
      <c r="C43" t="s">
        <v>339</v>
      </c>
      <c r="D43" t="s">
        <v>340</v>
      </c>
      <c r="E43" t="s">
        <v>341</v>
      </c>
      <c r="F43" t="s">
        <v>139</v>
      </c>
      <c r="G43" t="s">
        <v>140</v>
      </c>
      <c r="H43" t="s">
        <v>141</v>
      </c>
      <c r="I43" t="s">
        <v>50</v>
      </c>
      <c r="J43" t="s">
        <v>342</v>
      </c>
    </row>
    <row r="44" ht="15" customHeight="1" spans="1:10" x14ac:dyDescent="0.25">
      <c r="A44" s="36">
        <v>46247.5</v>
      </c>
      <c r="B44" t="s">
        <v>343</v>
      </c>
      <c r="C44" t="s">
        <v>183</v>
      </c>
      <c r="D44" t="s">
        <v>344</v>
      </c>
      <c r="E44" t="s">
        <v>224</v>
      </c>
      <c r="F44" t="s">
        <v>275</v>
      </c>
      <c r="G44" t="s">
        <v>181</v>
      </c>
      <c r="H44" t="s">
        <v>157</v>
      </c>
      <c r="I44" t="s">
        <v>49</v>
      </c>
      <c r="J44" t="s">
        <v>345</v>
      </c>
    </row>
    <row r="45" ht="15" customHeight="1" spans="1:9" x14ac:dyDescent="0.25">
      <c r="A45" s="36"/>
      <c r="B45" t="s">
        <v>346</v>
      </c>
      <c r="I45" t="s">
        <v>50</v>
      </c>
    </row>
    <row r="46" ht="15" customHeight="1" spans="1:10" x14ac:dyDescent="0.25">
      <c r="A46" s="36">
        <v>46239.5</v>
      </c>
      <c r="B46" t="s">
        <v>347</v>
      </c>
      <c r="C46" t="s">
        <v>183</v>
      </c>
      <c r="D46" t="s">
        <v>348</v>
      </c>
      <c r="E46" t="s">
        <v>349</v>
      </c>
      <c r="F46" t="s">
        <v>139</v>
      </c>
      <c r="G46" t="s">
        <v>350</v>
      </c>
      <c r="H46" t="s">
        <v>351</v>
      </c>
      <c r="I46" t="s">
        <v>50</v>
      </c>
      <c r="J46" t="s">
        <v>260</v>
      </c>
    </row>
    <row r="47" ht="15" customHeight="1" spans="1:10" x14ac:dyDescent="0.25">
      <c r="A47" s="36">
        <v>46247.5</v>
      </c>
      <c r="B47" t="s">
        <v>352</v>
      </c>
      <c r="C47" t="s">
        <v>165</v>
      </c>
      <c r="D47" t="s">
        <v>353</v>
      </c>
      <c r="E47" t="s">
        <v>354</v>
      </c>
      <c r="F47" t="s">
        <v>139</v>
      </c>
      <c r="G47" t="s">
        <v>355</v>
      </c>
      <c r="H47" t="s">
        <v>252</v>
      </c>
      <c r="I47" t="s">
        <v>49</v>
      </c>
      <c r="J47" t="s">
        <v>113</v>
      </c>
    </row>
    <row r="48" ht="15" customHeight="1" spans="1:10" x14ac:dyDescent="0.25">
      <c r="A48" s="36">
        <v>46246.5</v>
      </c>
      <c r="B48" t="s">
        <v>356</v>
      </c>
      <c r="C48" t="s">
        <v>145</v>
      </c>
      <c r="D48" t="s">
        <v>357</v>
      </c>
      <c r="E48" t="s">
        <v>358</v>
      </c>
      <c r="F48" t="s">
        <v>139</v>
      </c>
      <c r="G48" t="s">
        <v>359</v>
      </c>
      <c r="H48" t="s">
        <v>271</v>
      </c>
      <c r="I48" t="s">
        <v>49</v>
      </c>
      <c r="J48" t="s">
        <v>113</v>
      </c>
    </row>
    <row r="49" ht="15" customHeight="1" spans="1:9" x14ac:dyDescent="0.25">
      <c r="A49" s="36"/>
      <c r="B49" t="s">
        <v>360</v>
      </c>
      <c r="I49" t="s">
        <v>50</v>
      </c>
    </row>
    <row r="50" ht="15" customHeight="1" spans="1:10" x14ac:dyDescent="0.25">
      <c r="A50" s="36">
        <v>46248.5</v>
      </c>
      <c r="B50" t="s">
        <v>361</v>
      </c>
      <c r="C50" t="s">
        <v>183</v>
      </c>
      <c r="D50" t="s">
        <v>362</v>
      </c>
      <c r="E50" t="s">
        <v>363</v>
      </c>
      <c r="F50" t="s">
        <v>168</v>
      </c>
      <c r="G50" t="s">
        <v>333</v>
      </c>
      <c r="H50" t="s">
        <v>97</v>
      </c>
      <c r="I50" t="s">
        <v>49</v>
      </c>
      <c r="J50" t="s">
        <v>364</v>
      </c>
    </row>
    <row r="51" ht="15" customHeight="1" spans="1:1" x14ac:dyDescent="0.25">
      <c r="A51" s="36"/>
    </row>
    <row r="52" ht="15" customHeight="1" spans="1:1" x14ac:dyDescent="0.25">
      <c r="A52" s="36"/>
    </row>
    <row r="53" ht="15" customHeight="1" spans="1:1" x14ac:dyDescent="0.25">
      <c r="A53" s="36"/>
    </row>
    <row r="54" ht="15" customHeight="1" spans="1:1" x14ac:dyDescent="0.25">
      <c r="A54" s="36"/>
    </row>
    <row r="55" ht="15" customHeight="1" spans="1:1" x14ac:dyDescent="0.25">
      <c r="A55" s="36"/>
    </row>
    <row r="56" ht="15" customHeight="1" spans="1:1" x14ac:dyDescent="0.25">
      <c r="A56" s="36"/>
    </row>
    <row r="57" ht="15" customHeight="1" spans="1:1" x14ac:dyDescent="0.25">
      <c r="A57" s="36"/>
    </row>
    <row r="58" ht="15" customHeight="1" spans="1:1" x14ac:dyDescent="0.25">
      <c r="A58" s="36"/>
    </row>
    <row r="59" ht="15" customHeight="1" spans="1:1" x14ac:dyDescent="0.25">
      <c r="A59" s="36"/>
    </row>
    <row r="60" ht="15" customHeight="1" spans="1:1" x14ac:dyDescent="0.25">
      <c r="A60" s="36"/>
    </row>
    <row r="61" ht="15" customHeight="1" spans="1:1" x14ac:dyDescent="0.25">
      <c r="A61" s="36"/>
    </row>
    <row r="62" ht="15" customHeight="1" spans="1:1" x14ac:dyDescent="0.25">
      <c r="A62" s="36"/>
    </row>
    <row r="63" ht="15" customHeight="1" spans="1:1" x14ac:dyDescent="0.25">
      <c r="A63" s="36"/>
    </row>
    <row r="64" ht="15" customHeight="1" spans="1:1" x14ac:dyDescent="0.25">
      <c r="A64" s="36"/>
    </row>
    <row r="65" ht="15" customHeight="1" spans="1:1" x14ac:dyDescent="0.25">
      <c r="A65" s="36"/>
    </row>
    <row r="66" ht="15" customHeight="1" spans="1:1" x14ac:dyDescent="0.25">
      <c r="A66" s="36"/>
    </row>
    <row r="67" ht="15" customHeight="1" spans="1:1" x14ac:dyDescent="0.25">
      <c r="A67" s="36"/>
    </row>
    <row r="68" ht="15" customHeight="1" spans="1:1" x14ac:dyDescent="0.25">
      <c r="A68" s="36"/>
    </row>
    <row r="69" ht="15" customHeight="1" spans="1:1" x14ac:dyDescent="0.25">
      <c r="A69" s="36"/>
    </row>
    <row r="70" ht="15" customHeight="1" spans="1:1" x14ac:dyDescent="0.25">
      <c r="A70" s="36"/>
    </row>
    <row r="71" ht="15" customHeight="1" spans="1:1" x14ac:dyDescent="0.25">
      <c r="A71" s="36"/>
    </row>
    <row r="72" ht="15" customHeight="1" spans="1:1" x14ac:dyDescent="0.25">
      <c r="A72" s="36"/>
    </row>
    <row r="73" ht="15" customHeight="1" spans="1:1" x14ac:dyDescent="0.25">
      <c r="A73" s="36"/>
    </row>
    <row r="74" ht="15" customHeight="1" spans="1:1" x14ac:dyDescent="0.25">
      <c r="A74" s="36"/>
    </row>
    <row r="75" ht="15" customHeight="1" spans="1:1" x14ac:dyDescent="0.25">
      <c r="A75" s="36"/>
    </row>
    <row r="76" ht="15" customHeight="1" spans="1:1" x14ac:dyDescent="0.25">
      <c r="A76" s="36"/>
    </row>
    <row r="77" ht="15" customHeight="1" spans="1:1" x14ac:dyDescent="0.25">
      <c r="A77" s="36"/>
    </row>
    <row r="78" ht="15" customHeight="1" spans="1:1" x14ac:dyDescent="0.25">
      <c r="A78" s="36"/>
    </row>
    <row r="79" ht="15" customHeight="1" spans="1:1" x14ac:dyDescent="0.25">
      <c r="A79" s="36"/>
    </row>
    <row r="80" ht="15" customHeight="1" spans="1:1" x14ac:dyDescent="0.25">
      <c r="A80" s="36"/>
    </row>
    <row r="81" ht="15" customHeight="1" spans="1:1" x14ac:dyDescent="0.25">
      <c r="A81" s="36"/>
    </row>
    <row r="82" ht="15" customHeight="1" spans="1:1" x14ac:dyDescent="0.25">
      <c r="A82" s="36"/>
    </row>
    <row r="83" ht="15" customHeight="1" spans="1:1" x14ac:dyDescent="0.25">
      <c r="A83" s="36"/>
    </row>
    <row r="84" ht="15" customHeight="1" spans="1:1" x14ac:dyDescent="0.25">
      <c r="A84" s="36"/>
    </row>
    <row r="85" ht="15" customHeight="1" spans="1:1" x14ac:dyDescent="0.25">
      <c r="A85" s="36"/>
    </row>
    <row r="86" ht="15" customHeight="1" spans="1:1" x14ac:dyDescent="0.25">
      <c r="A86" s="36"/>
    </row>
    <row r="87" ht="15" customHeight="1" spans="1:1" x14ac:dyDescent="0.25">
      <c r="A87" s="36"/>
    </row>
    <row r="88" ht="15" customHeight="1" spans="1:1" x14ac:dyDescent="0.25">
      <c r="A88" s="36"/>
    </row>
    <row r="89" ht="15" customHeight="1" spans="1:1" x14ac:dyDescent="0.25">
      <c r="A89" s="36"/>
    </row>
    <row r="90" ht="15" customHeight="1" spans="1:1" x14ac:dyDescent="0.25">
      <c r="A90" s="36"/>
    </row>
    <row r="91" ht="15" customHeight="1" spans="1:1" x14ac:dyDescent="0.25">
      <c r="A91" s="36"/>
    </row>
    <row r="92" ht="15" customHeight="1" spans="1:1" x14ac:dyDescent="0.25">
      <c r="A92" s="36"/>
    </row>
    <row r="93" ht="15" customHeight="1" spans="1:1" x14ac:dyDescent="0.25">
      <c r="A93" s="36"/>
    </row>
    <row r="94" ht="15" customHeight="1" spans="1:1" x14ac:dyDescent="0.25">
      <c r="A94" s="36"/>
    </row>
    <row r="95" ht="15" customHeight="1" spans="1:1" x14ac:dyDescent="0.25">
      <c r="A95" s="36"/>
    </row>
    <row r="96" ht="15" customHeight="1" spans="1:1" x14ac:dyDescent="0.25">
      <c r="A96" s="36"/>
    </row>
    <row r="97" ht="15" customHeight="1" spans="1:1" x14ac:dyDescent="0.25">
      <c r="A97" s="36"/>
    </row>
    <row r="98" ht="15" customHeight="1" spans="1:1" x14ac:dyDescent="0.25">
      <c r="A98" s="36"/>
    </row>
    <row r="99" ht="15" customHeight="1" spans="1:1" x14ac:dyDescent="0.25">
      <c r="A99" s="36"/>
    </row>
    <row r="100" ht="15" customHeight="1" spans="1:1" x14ac:dyDescent="0.25">
      <c r="A100" s="36"/>
    </row>
    <row r="101" ht="15" customHeight="1" spans="1:1" x14ac:dyDescent="0.25">
      <c r="A101" s="36"/>
    </row>
    <row r="102" ht="15" customHeight="1" spans="1:1" x14ac:dyDescent="0.25">
      <c r="A102" s="36"/>
    </row>
    <row r="103" ht="15" customHeight="1" spans="1:1" x14ac:dyDescent="0.25">
      <c r="A103" s="36"/>
    </row>
    <row r="104" ht="15" customHeight="1" spans="1:1" x14ac:dyDescent="0.25">
      <c r="A104" s="36"/>
    </row>
    <row r="105" ht="15" customHeight="1" spans="1:1" x14ac:dyDescent="0.25">
      <c r="A105" s="36"/>
    </row>
    <row r="106" ht="15" customHeight="1" spans="1:1" x14ac:dyDescent="0.25">
      <c r="A106" s="36"/>
    </row>
    <row r="107" ht="15" customHeight="1" spans="1:1" x14ac:dyDescent="0.25">
      <c r="A107" s="36"/>
    </row>
    <row r="108" ht="15" customHeight="1" spans="1:1" x14ac:dyDescent="0.25">
      <c r="A108" s="36"/>
    </row>
    <row r="109" ht="15" customHeight="1" spans="1:1" x14ac:dyDescent="0.25">
      <c r="A109" s="36"/>
    </row>
    <row r="110" ht="15" customHeight="1" spans="1:1" x14ac:dyDescent="0.25">
      <c r="A110" s="36"/>
    </row>
    <row r="111" ht="15" customHeight="1" spans="1:1" x14ac:dyDescent="0.25">
      <c r="A111" s="36"/>
    </row>
    <row r="112" ht="15" customHeight="1" spans="1:1" x14ac:dyDescent="0.25">
      <c r="A112" s="36"/>
    </row>
    <row r="113" ht="15" customHeight="1" spans="1:1" x14ac:dyDescent="0.25">
      <c r="A113" s="36"/>
    </row>
    <row r="114" ht="15" customHeight="1" spans="1:1" x14ac:dyDescent="0.25">
      <c r="A114" s="36"/>
    </row>
    <row r="115" ht="15" customHeight="1" spans="1:1" x14ac:dyDescent="0.25">
      <c r="A115" s="36"/>
    </row>
    <row r="116" ht="15" customHeight="1" spans="1:1" x14ac:dyDescent="0.25">
      <c r="A116" s="36"/>
    </row>
    <row r="117" ht="15" customHeight="1" spans="1:1" x14ac:dyDescent="0.25">
      <c r="A117" s="36"/>
    </row>
    <row r="118" ht="15" customHeight="1" spans="1:1" x14ac:dyDescent="0.25">
      <c r="A118" s="36"/>
    </row>
    <row r="119" ht="15" customHeight="1" spans="1:1" x14ac:dyDescent="0.25">
      <c r="A119" s="36"/>
    </row>
    <row r="120" ht="15" customHeight="1" spans="1:1" x14ac:dyDescent="0.25">
      <c r="A120" s="36"/>
    </row>
    <row r="121" ht="15" customHeight="1" spans="1:1" x14ac:dyDescent="0.25">
      <c r="A121" s="36"/>
    </row>
    <row r="122" ht="15" customHeight="1" spans="1:1" x14ac:dyDescent="0.25">
      <c r="A122" s="36"/>
    </row>
    <row r="123" ht="15" customHeight="1" spans="1:1" x14ac:dyDescent="0.25">
      <c r="A123" s="36"/>
    </row>
    <row r="124" ht="15" customHeight="1" spans="1:1" x14ac:dyDescent="0.25">
      <c r="A124" s="36"/>
    </row>
    <row r="125" ht="15" customHeight="1" spans="1:1" x14ac:dyDescent="0.25">
      <c r="A125" s="36"/>
    </row>
    <row r="126" ht="15" customHeight="1" spans="1:1" x14ac:dyDescent="0.25">
      <c r="A126" s="36"/>
    </row>
    <row r="127" ht="15" customHeight="1" spans="1:1" x14ac:dyDescent="0.25">
      <c r="A127" s="36"/>
    </row>
    <row r="128" ht="15" customHeight="1" spans="1:1" x14ac:dyDescent="0.25">
      <c r="A128" s="36"/>
    </row>
    <row r="129" ht="15" customHeight="1" spans="1:1" x14ac:dyDescent="0.25">
      <c r="A129" s="36"/>
    </row>
    <row r="130" ht="15" customHeight="1" spans="1:1" x14ac:dyDescent="0.25">
      <c r="A130" s="36"/>
    </row>
    <row r="131" ht="15" customHeight="1" spans="1:1" x14ac:dyDescent="0.25">
      <c r="A131" s="36"/>
    </row>
    <row r="132" ht="15" customHeight="1" spans="1:1" x14ac:dyDescent="0.25">
      <c r="A132" s="36"/>
    </row>
    <row r="133" ht="15" customHeight="1" spans="1:1" x14ac:dyDescent="0.25">
      <c r="A133" s="36"/>
    </row>
    <row r="134" ht="15" customHeight="1" spans="1:1" x14ac:dyDescent="0.25">
      <c r="A134" s="36"/>
    </row>
    <row r="135" ht="15" customHeight="1" spans="1:1" x14ac:dyDescent="0.25">
      <c r="A135" s="36"/>
    </row>
    <row r="136" ht="15" customHeight="1" spans="1:1" x14ac:dyDescent="0.25">
      <c r="A136" s="36"/>
    </row>
    <row r="137" ht="15" customHeight="1" spans="1:1" x14ac:dyDescent="0.25">
      <c r="A137" s="36"/>
    </row>
    <row r="138" ht="15" customHeight="1" spans="1:1" x14ac:dyDescent="0.25">
      <c r="A138" s="36"/>
    </row>
    <row r="139" ht="15" customHeight="1" spans="1:1" x14ac:dyDescent="0.25">
      <c r="A139" s="36"/>
    </row>
    <row r="140" ht="15" customHeight="1" spans="1:1" x14ac:dyDescent="0.25">
      <c r="A140" s="36"/>
    </row>
    <row r="141" ht="15" customHeight="1" spans="1:1" x14ac:dyDescent="0.25">
      <c r="A141" s="36"/>
    </row>
    <row r="142" ht="15" customHeight="1" spans="1:1" x14ac:dyDescent="0.25">
      <c r="A142" s="36"/>
    </row>
    <row r="143" ht="15" customHeight="1" spans="1:1" x14ac:dyDescent="0.25">
      <c r="A143" s="36"/>
    </row>
    <row r="144" ht="15" customHeight="1" spans="1:1" x14ac:dyDescent="0.25">
      <c r="A144" s="36"/>
    </row>
    <row r="145" ht="15" customHeight="1" spans="1:1" x14ac:dyDescent="0.25">
      <c r="A145" s="36"/>
    </row>
    <row r="146" ht="15" customHeight="1" spans="1:1" x14ac:dyDescent="0.25">
      <c r="A146" s="36"/>
    </row>
    <row r="147" ht="15" customHeight="1" spans="1:1" x14ac:dyDescent="0.25">
      <c r="A147" s="36"/>
    </row>
    <row r="148" ht="15" customHeight="1" spans="1:1" x14ac:dyDescent="0.25">
      <c r="A148" s="36"/>
    </row>
    <row r="149" ht="15" customHeight="1" spans="1:1" x14ac:dyDescent="0.25">
      <c r="A149" s="36"/>
    </row>
    <row r="150" ht="15" customHeight="1" spans="1:1" x14ac:dyDescent="0.25">
      <c r="A150" s="36"/>
    </row>
    <row r="151" ht="15" customHeight="1" spans="1:1" x14ac:dyDescent="0.25">
      <c r="A151" s="36"/>
    </row>
    <row r="152" ht="15" customHeight="1" spans="1:1" x14ac:dyDescent="0.25">
      <c r="A152" s="36"/>
    </row>
    <row r="153" ht="15" customHeight="1" spans="1:1" x14ac:dyDescent="0.25">
      <c r="A153" s="36"/>
    </row>
    <row r="154" ht="15" customHeight="1" spans="1:1" x14ac:dyDescent="0.25">
      <c r="A154" s="36"/>
    </row>
    <row r="155" ht="15" customHeight="1" spans="1:1" x14ac:dyDescent="0.25">
      <c r="A155" s="36"/>
    </row>
    <row r="156" ht="15" customHeight="1" spans="1:1" x14ac:dyDescent="0.25">
      <c r="A156" s="36"/>
    </row>
    <row r="157" ht="15" customHeight="1" spans="1:1" x14ac:dyDescent="0.25">
      <c r="A157" s="36"/>
    </row>
    <row r="158" ht="15" customHeight="1" spans="1:1" x14ac:dyDescent="0.25">
      <c r="A158" s="36"/>
    </row>
    <row r="159" ht="15" customHeight="1" spans="1:1" x14ac:dyDescent="0.25">
      <c r="A159" s="36"/>
    </row>
    <row r="160" ht="15" customHeight="1" spans="1:1" x14ac:dyDescent="0.25">
      <c r="A160" s="36"/>
    </row>
    <row r="161" ht="15" customHeight="1" spans="1:1" x14ac:dyDescent="0.25">
      <c r="A161" s="36"/>
    </row>
    <row r="162" ht="15" customHeight="1" spans="1:1" x14ac:dyDescent="0.25">
      <c r="A162" s="36"/>
    </row>
    <row r="163" ht="15" customHeight="1" spans="1:1" x14ac:dyDescent="0.25">
      <c r="A163" s="36"/>
    </row>
    <row r="164" ht="15" customHeight="1" spans="1:1" x14ac:dyDescent="0.25">
      <c r="A164" s="36"/>
    </row>
    <row r="165" ht="15" customHeight="1" spans="1:1" x14ac:dyDescent="0.25">
      <c r="A165" s="36"/>
    </row>
    <row r="166" ht="15" customHeight="1" spans="1:1" x14ac:dyDescent="0.25">
      <c r="A166" s="36"/>
    </row>
    <row r="167" ht="15" customHeight="1" spans="1:1" x14ac:dyDescent="0.25">
      <c r="A167" s="36"/>
    </row>
    <row r="168" ht="15" customHeight="1" spans="1:1" x14ac:dyDescent="0.25">
      <c r="A168" s="36"/>
    </row>
    <row r="169" ht="15" customHeight="1" spans="1:1" x14ac:dyDescent="0.25">
      <c r="A169" s="36"/>
    </row>
    <row r="170" ht="15" customHeight="1" spans="1:1" x14ac:dyDescent="0.25">
      <c r="A170" s="36"/>
    </row>
    <row r="171" ht="15" customHeight="1" spans="1:1" x14ac:dyDescent="0.25">
      <c r="A171" s="36"/>
    </row>
    <row r="172" ht="15" customHeight="1" spans="1:1" x14ac:dyDescent="0.25">
      <c r="A172" s="36"/>
    </row>
    <row r="173" ht="15" customHeight="1" spans="1:1" x14ac:dyDescent="0.25">
      <c r="A173" s="36"/>
    </row>
    <row r="174" ht="15" customHeight="1" spans="1:1" x14ac:dyDescent="0.25">
      <c r="A174" s="36"/>
    </row>
    <row r="175" ht="15" customHeight="1" spans="1:1" x14ac:dyDescent="0.25">
      <c r="A175" s="36"/>
    </row>
    <row r="176" ht="15" customHeight="1" spans="1:1" x14ac:dyDescent="0.25">
      <c r="A176" s="36"/>
    </row>
    <row r="177" ht="15" customHeight="1" spans="1:1" x14ac:dyDescent="0.25">
      <c r="A177" s="36"/>
    </row>
    <row r="178" ht="15" customHeight="1" spans="1:1" x14ac:dyDescent="0.25">
      <c r="A178" s="36"/>
    </row>
    <row r="179" ht="15" customHeight="1" spans="1:1" x14ac:dyDescent="0.25">
      <c r="A179" s="36"/>
    </row>
    <row r="180" ht="15" customHeight="1" spans="1:1" x14ac:dyDescent="0.25">
      <c r="A180" s="36"/>
    </row>
    <row r="181" ht="15" customHeight="1" spans="1:1" x14ac:dyDescent="0.25">
      <c r="A181" s="36"/>
    </row>
    <row r="182" ht="15" customHeight="1" spans="1:1" x14ac:dyDescent="0.25">
      <c r="A182" s="36"/>
    </row>
    <row r="183" ht="15" customHeight="1" spans="1:1" x14ac:dyDescent="0.25">
      <c r="A183" s="36"/>
    </row>
    <row r="184" ht="15" customHeight="1" spans="1:1" x14ac:dyDescent="0.25">
      <c r="A184" s="36"/>
    </row>
    <row r="185" ht="15" customHeight="1" spans="1:1" x14ac:dyDescent="0.25">
      <c r="A185" s="36"/>
    </row>
    <row r="186" ht="15" customHeight="1" spans="1:1" x14ac:dyDescent="0.25">
      <c r="A186" s="36"/>
    </row>
    <row r="187" ht="15" customHeight="1" spans="1:1" x14ac:dyDescent="0.25">
      <c r="A187" s="36"/>
    </row>
    <row r="188" ht="15" customHeight="1" spans="1:1" x14ac:dyDescent="0.25">
      <c r="A188" s="36"/>
    </row>
    <row r="189" ht="15" customHeight="1" spans="1:1" x14ac:dyDescent="0.25">
      <c r="A189" s="36"/>
    </row>
    <row r="190" ht="15" customHeight="1" spans="1:1" x14ac:dyDescent="0.25">
      <c r="A190" s="36"/>
    </row>
    <row r="191" ht="15" customHeight="1" spans="1:1" x14ac:dyDescent="0.25">
      <c r="A191" s="36"/>
    </row>
    <row r="192" ht="15" customHeight="1" spans="1:1" x14ac:dyDescent="0.25">
      <c r="A192" s="36"/>
    </row>
    <row r="193" ht="15" customHeight="1" spans="1:1" x14ac:dyDescent="0.25">
      <c r="A193" s="36"/>
    </row>
    <row r="194" ht="15" customHeight="1" spans="1:1" x14ac:dyDescent="0.25">
      <c r="A194" s="36"/>
    </row>
    <row r="195" ht="15" customHeight="1" spans="1:1" x14ac:dyDescent="0.25">
      <c r="A195" s="36"/>
    </row>
    <row r="196" ht="15" customHeight="1" spans="1:1" x14ac:dyDescent="0.25">
      <c r="A196" s="36"/>
    </row>
    <row r="197" ht="15" customHeight="1" spans="1:1" x14ac:dyDescent="0.25">
      <c r="A197" s="36"/>
    </row>
    <row r="198" ht="15" customHeight="1" spans="1:1" x14ac:dyDescent="0.25">
      <c r="A198" s="36"/>
    </row>
    <row r="199" ht="15" customHeight="1" spans="1:1" x14ac:dyDescent="0.25">
      <c r="A199" s="36"/>
    </row>
    <row r="200" ht="15" customHeight="1" spans="1:1" x14ac:dyDescent="0.25">
      <c r="A200" s="36"/>
    </row>
    <row r="201" ht="15" customHeight="1" spans="1:1" x14ac:dyDescent="0.25">
      <c r="A201" s="36"/>
    </row>
    <row r="202" ht="15" customHeight="1" spans="1:1" x14ac:dyDescent="0.25">
      <c r="A202" s="36"/>
    </row>
    <row r="203" ht="15" customHeight="1" spans="1:1" x14ac:dyDescent="0.25">
      <c r="A203" s="36"/>
    </row>
    <row r="204" ht="15" customHeight="1" spans="1:1" x14ac:dyDescent="0.25">
      <c r="A204" s="36"/>
    </row>
    <row r="205" ht="15" customHeight="1" spans="1:1" x14ac:dyDescent="0.25">
      <c r="A205" s="36"/>
    </row>
    <row r="206" ht="15" customHeight="1" spans="1:1" x14ac:dyDescent="0.25">
      <c r="A206" s="36"/>
    </row>
    <row r="207" ht="15" customHeight="1" spans="1:1" x14ac:dyDescent="0.25">
      <c r="A207" s="36"/>
    </row>
    <row r="208" ht="15" customHeight="1" spans="1:1" x14ac:dyDescent="0.25">
      <c r="A208" s="36"/>
    </row>
    <row r="209" ht="15" customHeight="1" spans="1:1" x14ac:dyDescent="0.25">
      <c r="A209" s="36"/>
    </row>
    <row r="210" ht="15" customHeight="1" spans="1:1" x14ac:dyDescent="0.25">
      <c r="A210" s="36"/>
    </row>
    <row r="211" ht="15" customHeight="1" spans="1:1" x14ac:dyDescent="0.25">
      <c r="A211" s="36"/>
    </row>
    <row r="212" ht="15" customHeight="1" spans="1:1" x14ac:dyDescent="0.25">
      <c r="A212" s="36"/>
    </row>
    <row r="213" ht="15" customHeight="1" spans="1:1" x14ac:dyDescent="0.25">
      <c r="A213" s="36"/>
    </row>
    <row r="214" ht="15" customHeight="1" spans="1:1" x14ac:dyDescent="0.25">
      <c r="A214" s="36"/>
    </row>
    <row r="215" ht="15" customHeight="1" spans="1:1" x14ac:dyDescent="0.25">
      <c r="A215" s="36"/>
    </row>
    <row r="216" ht="15" customHeight="1" spans="1:1" x14ac:dyDescent="0.25">
      <c r="A216" s="36"/>
    </row>
    <row r="217" ht="15" customHeight="1" spans="1:1" x14ac:dyDescent="0.25">
      <c r="A217" s="36"/>
    </row>
    <row r="218" ht="15" customHeight="1" spans="1:1" x14ac:dyDescent="0.25">
      <c r="A218" s="36"/>
    </row>
    <row r="219" ht="15" customHeight="1" spans="1:1" x14ac:dyDescent="0.25">
      <c r="A219" s="36"/>
    </row>
    <row r="220" ht="15" customHeight="1" spans="1:1" x14ac:dyDescent="0.25">
      <c r="A220" s="36"/>
    </row>
    <row r="221" ht="15" customHeight="1" spans="1:1" x14ac:dyDescent="0.25">
      <c r="A221" s="36"/>
    </row>
    <row r="222" ht="15" customHeight="1" spans="1:1" x14ac:dyDescent="0.25">
      <c r="A222" s="36"/>
    </row>
    <row r="223" ht="15" customHeight="1" spans="1:1" x14ac:dyDescent="0.25">
      <c r="A223" s="36"/>
    </row>
    <row r="224" ht="15" customHeight="1" spans="1:1" x14ac:dyDescent="0.25">
      <c r="A224" s="36"/>
    </row>
    <row r="225" ht="15" customHeight="1" spans="1:1" x14ac:dyDescent="0.25">
      <c r="A225" s="36"/>
    </row>
    <row r="226" ht="15" customHeight="1" spans="1:1" x14ac:dyDescent="0.25">
      <c r="A226" s="36"/>
    </row>
    <row r="227" ht="15" customHeight="1" spans="1:1" x14ac:dyDescent="0.25">
      <c r="A227" s="36"/>
    </row>
    <row r="228" ht="15" customHeight="1" spans="1:1" x14ac:dyDescent="0.25">
      <c r="A228" s="36"/>
    </row>
    <row r="229" ht="15" customHeight="1" spans="1:1" x14ac:dyDescent="0.25">
      <c r="A229" s="36"/>
    </row>
    <row r="230" ht="15" customHeight="1" spans="1:1" x14ac:dyDescent="0.25">
      <c r="A230" s="36"/>
    </row>
    <row r="231" ht="15" customHeight="1" spans="1:1" x14ac:dyDescent="0.25">
      <c r="A231" s="36"/>
    </row>
    <row r="232" ht="15" customHeight="1" spans="1:1" x14ac:dyDescent="0.25">
      <c r="A232" s="36"/>
    </row>
    <row r="233" ht="15" customHeight="1" spans="1:1" x14ac:dyDescent="0.25">
      <c r="A233" s="36"/>
    </row>
    <row r="234" ht="15" customHeight="1" spans="1:1" x14ac:dyDescent="0.25">
      <c r="A234" s="36"/>
    </row>
    <row r="235" ht="15" customHeight="1" spans="1:1" x14ac:dyDescent="0.25">
      <c r="A235" s="36"/>
    </row>
    <row r="236" ht="15" customHeight="1" spans="1:1" x14ac:dyDescent="0.25">
      <c r="A236" s="36"/>
    </row>
    <row r="237" ht="15" customHeight="1" spans="1:1" x14ac:dyDescent="0.25">
      <c r="A237" s="36"/>
    </row>
    <row r="238" ht="15" customHeight="1" spans="1:1" x14ac:dyDescent="0.25">
      <c r="A238" s="36"/>
    </row>
    <row r="239" ht="15" customHeight="1" spans="1:1" x14ac:dyDescent="0.25">
      <c r="A239" s="36"/>
    </row>
    <row r="240" ht="15" customHeight="1" spans="1:1" x14ac:dyDescent="0.25">
      <c r="A240" s="36"/>
    </row>
    <row r="241" ht="15" customHeight="1" spans="1:1" x14ac:dyDescent="0.25">
      <c r="A241" s="36"/>
    </row>
    <row r="242" ht="15" customHeight="1" spans="1:1" x14ac:dyDescent="0.25">
      <c r="A242" s="36"/>
    </row>
    <row r="243" ht="15" customHeight="1" spans="1:1" x14ac:dyDescent="0.25">
      <c r="A243" s="36"/>
    </row>
    <row r="244" ht="15" customHeight="1" spans="1:1" x14ac:dyDescent="0.25">
      <c r="A244" s="36"/>
    </row>
    <row r="245" ht="15" customHeight="1" spans="1:1" x14ac:dyDescent="0.25">
      <c r="A245" s="36"/>
    </row>
    <row r="246" ht="15" customHeight="1" spans="1:1" x14ac:dyDescent="0.25">
      <c r="A246" s="36"/>
    </row>
    <row r="247" ht="15" customHeight="1" spans="1:1" x14ac:dyDescent="0.25">
      <c r="A247" s="36"/>
    </row>
    <row r="248" ht="15" customHeight="1" spans="1:1" x14ac:dyDescent="0.25">
      <c r="A248" s="36"/>
    </row>
    <row r="249" ht="15" customHeight="1" spans="1:1" x14ac:dyDescent="0.25">
      <c r="A249" s="36"/>
    </row>
    <row r="250" ht="15" customHeight="1" spans="1:1" x14ac:dyDescent="0.25">
      <c r="A250" s="36"/>
    </row>
    <row r="251" ht="15" customHeight="1" spans="1:1" x14ac:dyDescent="0.25">
      <c r="A251" s="36"/>
    </row>
    <row r="252" ht="15" customHeight="1" spans="1:1" x14ac:dyDescent="0.25">
      <c r="A252" s="36"/>
    </row>
    <row r="253" ht="15" customHeight="1" spans="1:1" x14ac:dyDescent="0.25">
      <c r="A253" s="36"/>
    </row>
    <row r="254" ht="15" customHeight="1" spans="1:1" x14ac:dyDescent="0.25">
      <c r="A254" s="36"/>
    </row>
    <row r="255" ht="15" customHeight="1" spans="1:1" x14ac:dyDescent="0.25">
      <c r="A255" s="36"/>
    </row>
    <row r="256" ht="15" customHeight="1" spans="1:1" x14ac:dyDescent="0.25">
      <c r="A256" s="36"/>
    </row>
    <row r="257" ht="15" customHeight="1" spans="1:1" x14ac:dyDescent="0.25">
      <c r="A257" s="36"/>
    </row>
    <row r="258" ht="15" customHeight="1" spans="1:1" x14ac:dyDescent="0.25">
      <c r="A258" s="36"/>
    </row>
    <row r="259" ht="15" customHeight="1" spans="1:1" x14ac:dyDescent="0.25">
      <c r="A259" s="36"/>
    </row>
    <row r="260" ht="15" customHeight="1" spans="1:1" x14ac:dyDescent="0.25">
      <c r="A260" s="36"/>
    </row>
    <row r="261" ht="15" customHeight="1" spans="1:1" x14ac:dyDescent="0.25">
      <c r="A261" s="36"/>
    </row>
    <row r="262" ht="15" customHeight="1" spans="1:1" x14ac:dyDescent="0.25">
      <c r="A262" s="36"/>
    </row>
    <row r="263" ht="15" customHeight="1" spans="1:1" x14ac:dyDescent="0.25">
      <c r="A263" s="36"/>
    </row>
    <row r="264" ht="15" customHeight="1" spans="1:1" x14ac:dyDescent="0.25">
      <c r="A264" s="36"/>
    </row>
    <row r="265" ht="15" customHeight="1" spans="1:1" x14ac:dyDescent="0.25">
      <c r="A265" s="36"/>
    </row>
    <row r="266" ht="15" customHeight="1" spans="1:1" x14ac:dyDescent="0.25">
      <c r="A266" s="36"/>
    </row>
    <row r="267" ht="15" customHeight="1" spans="1:1" x14ac:dyDescent="0.25">
      <c r="A267" s="36"/>
    </row>
    <row r="268" ht="15" customHeight="1" spans="1:1" x14ac:dyDescent="0.25">
      <c r="A268" s="36"/>
    </row>
    <row r="269" ht="15" customHeight="1" spans="1:1" x14ac:dyDescent="0.25">
      <c r="A269" s="36"/>
    </row>
    <row r="270" ht="15" customHeight="1" spans="1:1" x14ac:dyDescent="0.25">
      <c r="A270" s="36"/>
    </row>
    <row r="271" ht="15" customHeight="1" spans="1:1" x14ac:dyDescent="0.25">
      <c r="A271" s="36"/>
    </row>
    <row r="272" ht="15" customHeight="1" spans="1:1" x14ac:dyDescent="0.25">
      <c r="A272" s="36"/>
    </row>
    <row r="273" ht="15" customHeight="1" spans="1:1" x14ac:dyDescent="0.25">
      <c r="A273" s="36"/>
    </row>
    <row r="274" ht="15" customHeight="1" spans="1:1" x14ac:dyDescent="0.25">
      <c r="A274" s="36"/>
    </row>
    <row r="275" ht="15" customHeight="1" spans="1:1" x14ac:dyDescent="0.25">
      <c r="A275" s="36"/>
    </row>
    <row r="276" ht="15" customHeight="1" spans="1:1" x14ac:dyDescent="0.25">
      <c r="A276" s="36"/>
    </row>
    <row r="277" ht="15" customHeight="1" spans="1:1" x14ac:dyDescent="0.25">
      <c r="A277" s="36"/>
    </row>
    <row r="278" ht="15" customHeight="1" spans="1:1" x14ac:dyDescent="0.25">
      <c r="A278" s="36"/>
    </row>
    <row r="279" ht="15" customHeight="1" spans="1:1" x14ac:dyDescent="0.25">
      <c r="A279" s="36"/>
    </row>
    <row r="280" ht="15" customHeight="1" spans="1:1" x14ac:dyDescent="0.25">
      <c r="A280" s="36"/>
    </row>
    <row r="281" ht="15" customHeight="1" spans="1:1" x14ac:dyDescent="0.25">
      <c r="A281" s="36"/>
    </row>
    <row r="282" ht="15" customHeight="1" spans="1:1" x14ac:dyDescent="0.25">
      <c r="A282" s="36"/>
    </row>
    <row r="283" ht="15" customHeight="1" spans="1:1" x14ac:dyDescent="0.25">
      <c r="A283" s="36"/>
    </row>
    <row r="284" ht="15" customHeight="1" spans="1:1" x14ac:dyDescent="0.25">
      <c r="A284" s="36"/>
    </row>
    <row r="285" ht="15" customHeight="1" spans="1:1" x14ac:dyDescent="0.25">
      <c r="A285" s="36"/>
    </row>
    <row r="286" ht="15" customHeight="1" spans="1:1" x14ac:dyDescent="0.25">
      <c r="A286" s="36"/>
    </row>
    <row r="287" ht="15" customHeight="1" spans="1:1" x14ac:dyDescent="0.25">
      <c r="A287" s="36"/>
    </row>
    <row r="288" ht="15" customHeight="1" spans="1:1" x14ac:dyDescent="0.25">
      <c r="A288" s="36"/>
    </row>
    <row r="289" ht="15" customHeight="1" spans="1:1" x14ac:dyDescent="0.25">
      <c r="A289" s="36"/>
    </row>
    <row r="290" ht="15" customHeight="1" spans="1:1" x14ac:dyDescent="0.25">
      <c r="A290" s="36"/>
    </row>
    <row r="291" ht="15" customHeight="1" spans="1:1" x14ac:dyDescent="0.25">
      <c r="A291" s="36"/>
    </row>
    <row r="292" ht="15" customHeight="1" spans="1:1" x14ac:dyDescent="0.25">
      <c r="A292" s="36"/>
    </row>
    <row r="293" ht="15" customHeight="1" spans="1:1" x14ac:dyDescent="0.25">
      <c r="A293" s="36"/>
    </row>
    <row r="294" ht="15" customHeight="1" spans="1:1" x14ac:dyDescent="0.25">
      <c r="A294" s="36"/>
    </row>
    <row r="295" ht="15" customHeight="1" spans="1:1" x14ac:dyDescent="0.25">
      <c r="A295" s="36"/>
    </row>
    <row r="296" ht="15" customHeight="1" spans="1:1" x14ac:dyDescent="0.25">
      <c r="A296" s="36"/>
    </row>
    <row r="297" ht="15" customHeight="1" spans="1:1" x14ac:dyDescent="0.25">
      <c r="A297" s="36"/>
    </row>
    <row r="298" ht="15" customHeight="1" spans="1:1" x14ac:dyDescent="0.25">
      <c r="A298" s="36"/>
    </row>
    <row r="299" ht="15" customHeight="1" spans="1:1" x14ac:dyDescent="0.25">
      <c r="A299" s="36"/>
    </row>
    <row r="300" ht="15" customHeight="1" spans="1:1" x14ac:dyDescent="0.25">
      <c r="A300" s="36"/>
    </row>
    <row r="301" ht="15" customHeight="1" spans="1:1" x14ac:dyDescent="0.25">
      <c r="A301" s="36"/>
    </row>
  </sheetData>
  <dataValidations count="14">
    <dataValidation type="list" allowBlank="1" sqref="C10:C301">
      <formula1>ListaSetor</formula1>
      <formula2>0</formula2>
    </dataValidation>
    <dataValidation type="list" allowBlank="1" sqref="C2:C301">
      <formula1>ListaSetor</formula1>
      <formula2>0</formula2>
    </dataValidation>
    <dataValidation type="list" allowBlank="1" sqref="H10:H301">
      <formula1>ListaEstado</formula1>
      <formula2>0</formula2>
    </dataValidation>
    <dataValidation type="list" allowBlank="1" sqref="H2:H301">
      <formula1>ListaEstado</formula1>
      <formula2>0</formula2>
    </dataValidation>
    <dataValidation type="list" allowBlank="1" sqref="I10:I301">
      <formula1>ListaSDR</formula1>
      <formula2>0</formula2>
    </dataValidation>
    <dataValidation type="list" allowBlank="1" sqref="I2:I301">
      <formula1>ListaSDR</formula1>
      <formula2>0</formula2>
    </dataValidation>
    <dataValidation type="list" allowBlank="1" sqref="K10:K301">
      <formula1>ListaStatus</formula1>
      <formula2>0</formula2>
    </dataValidation>
    <dataValidation type="list" allowBlank="1" sqref="K2:K301">
      <formula1>ListaStatus</formula1>
      <formula2>0</formula2>
    </dataValidation>
    <dataValidation type="list" allowBlank="1" sqref="L10:L301">
      <formula1>ListaSimNao</formula1>
      <formula2>0</formula2>
    </dataValidation>
    <dataValidation type="list" allowBlank="1" sqref="L2:L301">
      <formula1>ListaSimNao</formula1>
      <formula2>0</formula2>
    </dataValidation>
    <dataValidation type="list" allowBlank="1" sqref="M10:M301">
      <formula1>ListaTipoProposta</formula1>
      <formula2>0</formula2>
    </dataValidation>
    <dataValidation type="list" allowBlank="1" sqref="M2:M301">
      <formula1>ListaTipoProposta</formula1>
      <formula2>0</formula2>
    </dataValidation>
    <dataValidation type="list" allowBlank="1" sqref="N10:N301">
      <formula1>ListaSimNao</formula1>
      <formula2>0</formula2>
    </dataValidation>
    <dataValidation type="list" allowBlank="1" sqref="N2:N301">
      <formula1>ListaSimNao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 scale="100" fitToWidth="1" fitToHeight="1" firstPageNumber="1" useFirstPageNumber="1" copies="1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01"/>
  <sheetViews>
    <sheetView workbookViewId="0" zoomScale="100" zoomScaleNormal="100">
      <pane ySplit="1" topLeftCell="A190" activePane="bottomLeft" state="frozen"/>
      <selection pane="bottomLeft" activeCell="D236" sqref="D236"/>
    </sheetView>
  </sheetViews>
  <sheetFormatPr defaultRowHeight="15" outlineLevelRow="0" outlineLevelCol="0" x14ac:dyDescent="0" defaultColWidth="8.7109375"/>
  <cols>
    <col min="1" max="1" width="14" customWidth="1"/>
    <col min="2" max="2" width="22" customWidth="1"/>
    <col min="3" max="3" width="26" customWidth="1"/>
    <col min="4" max="4" width="16" customWidth="1"/>
    <col min="5" max="5" width="24" customWidth="1"/>
    <col min="6" max="6" width="142.140625" customWidth="1"/>
  </cols>
  <sheetData>
    <row r="1" ht="21.75" customHeight="1" spans="1:6" x14ac:dyDescent="0.25">
      <c r="A1" s="13" t="s">
        <v>365</v>
      </c>
      <c r="B1" s="13" t="s">
        <v>36</v>
      </c>
      <c r="C1" s="13" t="s">
        <v>125</v>
      </c>
      <c r="D1" s="13" t="s">
        <v>89</v>
      </c>
      <c r="E1" s="13" t="s">
        <v>366</v>
      </c>
      <c r="F1" s="13" t="s">
        <v>367</v>
      </c>
    </row>
    <row r="2" ht="15" customHeight="1" spans="1:6" x14ac:dyDescent="0.25">
      <c r="A2" s="36">
        <v>46211</v>
      </c>
      <c r="B2" t="s">
        <v>50</v>
      </c>
      <c r="C2" t="s">
        <v>368</v>
      </c>
      <c r="D2" t="s">
        <v>369</v>
      </c>
      <c r="E2" t="s">
        <v>61</v>
      </c>
      <c r="F2" t="s">
        <v>370</v>
      </c>
    </row>
    <row r="3" ht="15" customHeight="1" spans="1:6" x14ac:dyDescent="0.25">
      <c r="A3" s="36">
        <v>46211</v>
      </c>
      <c r="B3" t="s">
        <v>50</v>
      </c>
      <c r="C3" t="s">
        <v>371</v>
      </c>
      <c r="D3" t="s">
        <v>369</v>
      </c>
      <c r="E3" t="s">
        <v>60</v>
      </c>
      <c r="F3" t="s">
        <v>372</v>
      </c>
    </row>
    <row r="4" ht="15" customHeight="1" spans="1:6" x14ac:dyDescent="0.25">
      <c r="A4" s="36">
        <v>46211</v>
      </c>
      <c r="B4" t="s">
        <v>50</v>
      </c>
      <c r="C4" t="s">
        <v>373</v>
      </c>
      <c r="D4" t="s">
        <v>369</v>
      </c>
      <c r="E4" t="s">
        <v>60</v>
      </c>
      <c r="F4" t="s">
        <v>374</v>
      </c>
    </row>
    <row r="5" ht="15" customHeight="1" spans="1:6" x14ac:dyDescent="0.25">
      <c r="A5" s="36">
        <v>46211</v>
      </c>
      <c r="B5" t="s">
        <v>50</v>
      </c>
      <c r="C5" t="s">
        <v>375</v>
      </c>
      <c r="D5" t="s">
        <v>369</v>
      </c>
      <c r="E5" t="s">
        <v>64</v>
      </c>
      <c r="F5" t="s">
        <v>376</v>
      </c>
    </row>
    <row r="6" ht="15" customHeight="1" spans="1:6" x14ac:dyDescent="0.25">
      <c r="A6" s="36">
        <v>46211</v>
      </c>
      <c r="B6" t="s">
        <v>50</v>
      </c>
      <c r="C6" t="s">
        <v>377</v>
      </c>
      <c r="D6" t="s">
        <v>369</v>
      </c>
      <c r="E6" t="s">
        <v>62</v>
      </c>
      <c r="F6" t="s">
        <v>378</v>
      </c>
    </row>
    <row r="7" ht="15" customHeight="1" spans="1:6" x14ac:dyDescent="0.25">
      <c r="A7" s="36">
        <v>46211</v>
      </c>
      <c r="B7" t="s">
        <v>50</v>
      </c>
      <c r="C7" t="s">
        <v>267</v>
      </c>
      <c r="D7" t="s">
        <v>369</v>
      </c>
      <c r="E7" t="s">
        <v>66</v>
      </c>
      <c r="F7" t="s">
        <v>379</v>
      </c>
    </row>
    <row r="8" ht="15" customHeight="1" spans="1:6" x14ac:dyDescent="0.25">
      <c r="A8" s="36">
        <v>46211</v>
      </c>
      <c r="B8" t="s">
        <v>50</v>
      </c>
      <c r="C8" t="s">
        <v>380</v>
      </c>
      <c r="D8" t="s">
        <v>369</v>
      </c>
      <c r="E8" t="s">
        <v>61</v>
      </c>
      <c r="F8" t="s">
        <v>381</v>
      </c>
    </row>
    <row r="9" ht="15" customHeight="1" spans="1:6" x14ac:dyDescent="0.25">
      <c r="A9" s="36">
        <v>46211</v>
      </c>
      <c r="B9" t="s">
        <v>50</v>
      </c>
      <c r="C9" t="s">
        <v>382</v>
      </c>
      <c r="D9" t="s">
        <v>369</v>
      </c>
      <c r="E9" t="s">
        <v>61</v>
      </c>
      <c r="F9" t="s">
        <v>383</v>
      </c>
    </row>
    <row r="10" ht="15" customHeight="1" spans="1:6" x14ac:dyDescent="0.25">
      <c r="A10" s="36">
        <v>46211</v>
      </c>
      <c r="B10" t="s">
        <v>50</v>
      </c>
      <c r="C10" t="s">
        <v>384</v>
      </c>
      <c r="D10" t="s">
        <v>369</v>
      </c>
      <c r="E10" t="s">
        <v>60</v>
      </c>
      <c r="F10" t="s">
        <v>385</v>
      </c>
    </row>
    <row r="11" ht="15" customHeight="1" spans="1:6" x14ac:dyDescent="0.25">
      <c r="A11" s="36">
        <v>46211</v>
      </c>
      <c r="B11" t="s">
        <v>50</v>
      </c>
      <c r="C11" t="s">
        <v>384</v>
      </c>
      <c r="D11" t="s">
        <v>369</v>
      </c>
      <c r="E11" t="s">
        <v>61</v>
      </c>
      <c r="F11" t="s">
        <v>386</v>
      </c>
    </row>
    <row r="12" ht="15" customHeight="1" spans="1:6" x14ac:dyDescent="0.25">
      <c r="A12" s="36">
        <v>46210</v>
      </c>
      <c r="B12" t="s">
        <v>50</v>
      </c>
      <c r="C12" t="s">
        <v>387</v>
      </c>
      <c r="D12" t="s">
        <v>369</v>
      </c>
      <c r="E12" t="s">
        <v>63</v>
      </c>
      <c r="F12" t="s">
        <v>388</v>
      </c>
    </row>
    <row r="13" ht="15" customHeight="1" spans="1:6" x14ac:dyDescent="0.25">
      <c r="A13" s="36">
        <v>46210</v>
      </c>
      <c r="B13" t="s">
        <v>50</v>
      </c>
      <c r="C13" t="s">
        <v>389</v>
      </c>
      <c r="D13" t="s">
        <v>369</v>
      </c>
      <c r="E13" t="s">
        <v>61</v>
      </c>
      <c r="F13" t="s">
        <v>390</v>
      </c>
    </row>
    <row r="14" ht="15" customHeight="1" spans="1:6" x14ac:dyDescent="0.25">
      <c r="A14" s="36">
        <v>46210</v>
      </c>
      <c r="B14" t="s">
        <v>50</v>
      </c>
      <c r="C14" t="s">
        <v>391</v>
      </c>
      <c r="D14" t="s">
        <v>369</v>
      </c>
      <c r="E14" t="s">
        <v>61</v>
      </c>
      <c r="F14" t="s">
        <v>392</v>
      </c>
    </row>
    <row r="15" ht="15" customHeight="1" spans="1:6" x14ac:dyDescent="0.25">
      <c r="A15" s="36">
        <v>46210</v>
      </c>
      <c r="B15" t="s">
        <v>50</v>
      </c>
      <c r="C15" t="s">
        <v>393</v>
      </c>
      <c r="D15" t="s">
        <v>369</v>
      </c>
      <c r="E15" t="s">
        <v>61</v>
      </c>
      <c r="F15" t="s">
        <v>394</v>
      </c>
    </row>
    <row r="16" ht="15" customHeight="1" spans="1:6" x14ac:dyDescent="0.25">
      <c r="A16" s="36">
        <v>46210</v>
      </c>
      <c r="B16" t="s">
        <v>50</v>
      </c>
      <c r="C16" t="s">
        <v>395</v>
      </c>
      <c r="D16" t="s">
        <v>369</v>
      </c>
      <c r="E16" t="s">
        <v>61</v>
      </c>
      <c r="F16" t="s">
        <v>396</v>
      </c>
    </row>
    <row r="17" ht="15" customHeight="1" spans="1:6" x14ac:dyDescent="0.25">
      <c r="A17" s="36">
        <v>46210</v>
      </c>
      <c r="B17" t="s">
        <v>50</v>
      </c>
      <c r="C17" t="s">
        <v>397</v>
      </c>
      <c r="D17" t="s">
        <v>369</v>
      </c>
      <c r="E17" t="s">
        <v>61</v>
      </c>
      <c r="F17" t="s">
        <v>398</v>
      </c>
    </row>
    <row r="18" ht="15" customHeight="1" spans="1:6" x14ac:dyDescent="0.25">
      <c r="A18" s="36">
        <v>46210</v>
      </c>
      <c r="B18" t="s">
        <v>50</v>
      </c>
      <c r="C18" t="s">
        <v>399</v>
      </c>
      <c r="D18" t="s">
        <v>369</v>
      </c>
      <c r="E18" t="s">
        <v>61</v>
      </c>
      <c r="F18" t="s">
        <v>400</v>
      </c>
    </row>
    <row r="19" ht="15" customHeight="1" spans="1:6" x14ac:dyDescent="0.25">
      <c r="A19" s="36">
        <v>46210</v>
      </c>
      <c r="B19" t="s">
        <v>50</v>
      </c>
      <c r="C19" t="s">
        <v>401</v>
      </c>
      <c r="D19" t="s">
        <v>369</v>
      </c>
      <c r="E19" t="s">
        <v>60</v>
      </c>
      <c r="F19" t="s">
        <v>402</v>
      </c>
    </row>
    <row r="20" ht="15" customHeight="1" spans="1:6" x14ac:dyDescent="0.25">
      <c r="A20" s="36">
        <v>46210</v>
      </c>
      <c r="B20" t="s">
        <v>50</v>
      </c>
      <c r="C20" t="s">
        <v>403</v>
      </c>
      <c r="D20" t="s">
        <v>369</v>
      </c>
      <c r="E20" t="s">
        <v>64</v>
      </c>
      <c r="F20" t="s">
        <v>404</v>
      </c>
    </row>
    <row r="21" ht="15" customHeight="1" spans="1:6" x14ac:dyDescent="0.25">
      <c r="A21" s="36">
        <v>46210</v>
      </c>
      <c r="B21" t="s">
        <v>50</v>
      </c>
      <c r="C21" t="s">
        <v>254</v>
      </c>
      <c r="D21" t="s">
        <v>369</v>
      </c>
      <c r="E21" t="s">
        <v>66</v>
      </c>
      <c r="F21" t="s">
        <v>405</v>
      </c>
    </row>
    <row r="22" ht="15" customHeight="1" spans="1:6" x14ac:dyDescent="0.25">
      <c r="A22" s="36">
        <v>46210</v>
      </c>
      <c r="B22" t="s">
        <v>50</v>
      </c>
      <c r="C22" t="s">
        <v>384</v>
      </c>
      <c r="D22" t="s">
        <v>369</v>
      </c>
      <c r="E22" t="s">
        <v>60</v>
      </c>
      <c r="F22" t="s">
        <v>406</v>
      </c>
    </row>
    <row r="23" ht="15" customHeight="1" spans="1:6" x14ac:dyDescent="0.25">
      <c r="A23" s="36">
        <v>46210</v>
      </c>
      <c r="B23" t="s">
        <v>50</v>
      </c>
      <c r="C23" t="s">
        <v>254</v>
      </c>
      <c r="D23" t="s">
        <v>369</v>
      </c>
      <c r="E23" t="s">
        <v>61</v>
      </c>
      <c r="F23" t="s">
        <v>407</v>
      </c>
    </row>
    <row r="24" ht="15" customHeight="1" spans="1:6" x14ac:dyDescent="0.25">
      <c r="A24" s="36">
        <v>46210</v>
      </c>
      <c r="B24" t="s">
        <v>50</v>
      </c>
      <c r="C24" t="s">
        <v>408</v>
      </c>
      <c r="D24" t="s">
        <v>369</v>
      </c>
      <c r="E24" t="s">
        <v>62</v>
      </c>
      <c r="F24" t="s">
        <v>409</v>
      </c>
    </row>
    <row r="25" ht="15" customHeight="1" spans="1:6" x14ac:dyDescent="0.25">
      <c r="A25" s="36">
        <v>46210</v>
      </c>
      <c r="B25" t="s">
        <v>50</v>
      </c>
      <c r="C25" t="s">
        <v>371</v>
      </c>
      <c r="D25" t="s">
        <v>369</v>
      </c>
      <c r="E25" t="s">
        <v>61</v>
      </c>
      <c r="F25" t="s">
        <v>410</v>
      </c>
    </row>
    <row r="26" ht="15" customHeight="1" spans="1:6" x14ac:dyDescent="0.25">
      <c r="A26" s="36">
        <v>46210</v>
      </c>
      <c r="B26" t="s">
        <v>50</v>
      </c>
      <c r="C26" t="s">
        <v>411</v>
      </c>
      <c r="D26" t="s">
        <v>369</v>
      </c>
      <c r="E26" t="s">
        <v>60</v>
      </c>
      <c r="F26" t="s">
        <v>412</v>
      </c>
    </row>
    <row r="27" ht="15" customHeight="1" spans="1:6" x14ac:dyDescent="0.25">
      <c r="A27" s="36">
        <v>46210</v>
      </c>
      <c r="B27" t="s">
        <v>50</v>
      </c>
      <c r="C27" t="s">
        <v>413</v>
      </c>
      <c r="D27" t="s">
        <v>369</v>
      </c>
      <c r="E27" t="s">
        <v>64</v>
      </c>
      <c r="F27" t="s">
        <v>414</v>
      </c>
    </row>
    <row r="28" ht="15" customHeight="1" spans="1:6" x14ac:dyDescent="0.25">
      <c r="A28" s="36">
        <v>46210</v>
      </c>
      <c r="B28" t="s">
        <v>50</v>
      </c>
      <c r="C28" t="s">
        <v>239</v>
      </c>
      <c r="D28" t="s">
        <v>369</v>
      </c>
      <c r="E28" t="s">
        <v>60</v>
      </c>
      <c r="F28" t="s">
        <v>415</v>
      </c>
    </row>
    <row r="29" ht="15" customHeight="1" spans="1:6" x14ac:dyDescent="0.25">
      <c r="A29" s="36">
        <v>46210</v>
      </c>
      <c r="B29" t="s">
        <v>50</v>
      </c>
      <c r="C29" t="s">
        <v>416</v>
      </c>
      <c r="D29" t="s">
        <v>369</v>
      </c>
      <c r="E29" t="s">
        <v>60</v>
      </c>
      <c r="F29" t="s">
        <v>417</v>
      </c>
    </row>
    <row r="30" ht="15" customHeight="1" spans="1:6" x14ac:dyDescent="0.25">
      <c r="A30" s="36">
        <v>46210</v>
      </c>
      <c r="B30" t="s">
        <v>50</v>
      </c>
      <c r="C30" t="s">
        <v>416</v>
      </c>
      <c r="D30" t="s">
        <v>369</v>
      </c>
      <c r="E30" t="s">
        <v>60</v>
      </c>
      <c r="F30" t="s">
        <v>418</v>
      </c>
    </row>
    <row r="31" ht="15" customHeight="1" spans="1:6" x14ac:dyDescent="0.25">
      <c r="A31" s="36">
        <v>46209</v>
      </c>
      <c r="B31" t="s">
        <v>50</v>
      </c>
      <c r="C31" t="s">
        <v>419</v>
      </c>
      <c r="D31" t="s">
        <v>369</v>
      </c>
      <c r="E31" t="s">
        <v>60</v>
      </c>
      <c r="F31" t="s">
        <v>420</v>
      </c>
    </row>
    <row r="32" ht="15" customHeight="1" spans="1:6" x14ac:dyDescent="0.25">
      <c r="A32" s="36">
        <v>46209</v>
      </c>
      <c r="B32" t="s">
        <v>50</v>
      </c>
      <c r="C32" t="s">
        <v>421</v>
      </c>
      <c r="D32" t="s">
        <v>369</v>
      </c>
      <c r="E32" t="s">
        <v>60</v>
      </c>
      <c r="F32" t="s">
        <v>422</v>
      </c>
    </row>
    <row r="33" ht="15" customHeight="1" spans="1:6" x14ac:dyDescent="0.25">
      <c r="A33" s="36">
        <v>46209</v>
      </c>
      <c r="B33" t="s">
        <v>50</v>
      </c>
      <c r="C33" t="s">
        <v>232</v>
      </c>
      <c r="D33" t="s">
        <v>369</v>
      </c>
      <c r="E33" t="s">
        <v>61</v>
      </c>
      <c r="F33" t="s">
        <v>423</v>
      </c>
    </row>
    <row r="34" ht="15" customHeight="1" spans="1:6" x14ac:dyDescent="0.25">
      <c r="A34" s="36">
        <v>46209</v>
      </c>
      <c r="B34" t="s">
        <v>50</v>
      </c>
      <c r="C34" t="s">
        <v>424</v>
      </c>
      <c r="D34" t="s">
        <v>369</v>
      </c>
      <c r="E34" t="s">
        <v>60</v>
      </c>
      <c r="F34" t="s">
        <v>425</v>
      </c>
    </row>
    <row r="35" ht="15" customHeight="1" spans="1:6" x14ac:dyDescent="0.25">
      <c r="A35" s="36">
        <v>46209</v>
      </c>
      <c r="B35" t="s">
        <v>50</v>
      </c>
      <c r="C35" t="s">
        <v>424</v>
      </c>
      <c r="D35" t="s">
        <v>369</v>
      </c>
      <c r="E35" t="s">
        <v>61</v>
      </c>
      <c r="F35" t="s">
        <v>426</v>
      </c>
    </row>
    <row r="36" ht="15" customHeight="1" spans="1:6" x14ac:dyDescent="0.25">
      <c r="A36" s="36">
        <v>46209</v>
      </c>
      <c r="B36" t="s">
        <v>50</v>
      </c>
      <c r="C36" t="s">
        <v>427</v>
      </c>
      <c r="D36" t="s">
        <v>369</v>
      </c>
      <c r="E36" t="s">
        <v>61</v>
      </c>
      <c r="F36" t="s">
        <v>428</v>
      </c>
    </row>
    <row r="37" ht="15" customHeight="1" spans="1:6" x14ac:dyDescent="0.25">
      <c r="A37" s="36">
        <v>46209</v>
      </c>
      <c r="B37" t="s">
        <v>50</v>
      </c>
      <c r="C37" t="s">
        <v>427</v>
      </c>
      <c r="D37" t="s">
        <v>369</v>
      </c>
      <c r="E37" t="s">
        <v>63</v>
      </c>
      <c r="F37" t="s">
        <v>429</v>
      </c>
    </row>
    <row r="38" ht="15" customHeight="1" spans="1:6" x14ac:dyDescent="0.25">
      <c r="A38" s="36">
        <v>46209</v>
      </c>
      <c r="B38" t="s">
        <v>50</v>
      </c>
      <c r="C38" t="s">
        <v>430</v>
      </c>
      <c r="D38" t="s">
        <v>369</v>
      </c>
      <c r="E38" t="s">
        <v>61</v>
      </c>
      <c r="F38" t="s">
        <v>431</v>
      </c>
    </row>
    <row r="39" ht="15" customHeight="1" spans="1:6" x14ac:dyDescent="0.25">
      <c r="A39" s="36">
        <v>46209</v>
      </c>
      <c r="B39" t="s">
        <v>50</v>
      </c>
      <c r="C39" t="s">
        <v>432</v>
      </c>
      <c r="D39" t="s">
        <v>369</v>
      </c>
      <c r="E39" t="s">
        <v>60</v>
      </c>
      <c r="F39" t="s">
        <v>433</v>
      </c>
    </row>
    <row r="40" ht="15" customHeight="1" spans="1:6" x14ac:dyDescent="0.25">
      <c r="A40" s="36">
        <v>46209</v>
      </c>
      <c r="B40" t="s">
        <v>50</v>
      </c>
      <c r="C40" t="s">
        <v>434</v>
      </c>
      <c r="D40" t="s">
        <v>369</v>
      </c>
      <c r="E40" t="s">
        <v>60</v>
      </c>
      <c r="F40" t="s">
        <v>435</v>
      </c>
    </row>
    <row r="41" ht="15" customHeight="1" spans="1:6" x14ac:dyDescent="0.25">
      <c r="A41" s="36">
        <v>46209</v>
      </c>
      <c r="B41" t="s">
        <v>50</v>
      </c>
      <c r="C41" t="s">
        <v>436</v>
      </c>
      <c r="D41" t="s">
        <v>369</v>
      </c>
      <c r="E41" t="s">
        <v>61</v>
      </c>
      <c r="F41" t="s">
        <v>437</v>
      </c>
    </row>
    <row r="42" ht="15" customHeight="1" spans="1:6" x14ac:dyDescent="0.25">
      <c r="A42" s="36">
        <v>46209</v>
      </c>
      <c r="B42" t="s">
        <v>50</v>
      </c>
      <c r="C42" t="s">
        <v>438</v>
      </c>
      <c r="D42" t="s">
        <v>369</v>
      </c>
      <c r="E42" t="s">
        <v>63</v>
      </c>
      <c r="F42" t="s">
        <v>439</v>
      </c>
    </row>
    <row r="43" ht="15" customHeight="1" spans="1:6" x14ac:dyDescent="0.25">
      <c r="A43" s="36">
        <v>46209</v>
      </c>
      <c r="B43" t="s">
        <v>50</v>
      </c>
      <c r="C43" t="s">
        <v>438</v>
      </c>
      <c r="D43" t="s">
        <v>369</v>
      </c>
      <c r="E43" t="s">
        <v>60</v>
      </c>
      <c r="F43" t="s">
        <v>440</v>
      </c>
    </row>
    <row r="44" ht="15" customHeight="1" spans="1:6" x14ac:dyDescent="0.25">
      <c r="A44" s="36">
        <v>46209</v>
      </c>
      <c r="B44" t="s">
        <v>50</v>
      </c>
      <c r="C44" t="s">
        <v>441</v>
      </c>
      <c r="D44" t="s">
        <v>369</v>
      </c>
      <c r="E44" t="s">
        <v>60</v>
      </c>
      <c r="F44" t="s">
        <v>442</v>
      </c>
    </row>
    <row r="45" ht="15" customHeight="1" spans="1:6" x14ac:dyDescent="0.25">
      <c r="A45" s="36">
        <v>46209</v>
      </c>
      <c r="B45" t="s">
        <v>50</v>
      </c>
      <c r="C45" t="s">
        <v>430</v>
      </c>
      <c r="D45" t="s">
        <v>369</v>
      </c>
      <c r="E45" t="s">
        <v>61</v>
      </c>
      <c r="F45" t="s">
        <v>443</v>
      </c>
    </row>
    <row r="46" ht="15" customHeight="1" spans="1:6" x14ac:dyDescent="0.25">
      <c r="A46" s="36">
        <v>46209</v>
      </c>
      <c r="B46" t="s">
        <v>50</v>
      </c>
      <c r="C46" t="s">
        <v>434</v>
      </c>
      <c r="D46" t="s">
        <v>369</v>
      </c>
      <c r="E46" t="s">
        <v>60</v>
      </c>
      <c r="F46" t="s">
        <v>444</v>
      </c>
    </row>
    <row r="47" ht="15" customHeight="1" spans="1:6" x14ac:dyDescent="0.25">
      <c r="A47" s="36">
        <v>46209</v>
      </c>
      <c r="B47" t="s">
        <v>50</v>
      </c>
      <c r="C47" t="s">
        <v>445</v>
      </c>
      <c r="D47" t="s">
        <v>369</v>
      </c>
      <c r="E47" t="s">
        <v>60</v>
      </c>
      <c r="F47" t="s">
        <v>446</v>
      </c>
    </row>
    <row r="48" ht="15" customHeight="1" spans="1:6" x14ac:dyDescent="0.25">
      <c r="A48" s="36">
        <v>46209</v>
      </c>
      <c r="B48" t="s">
        <v>50</v>
      </c>
      <c r="C48" t="s">
        <v>447</v>
      </c>
      <c r="D48" t="s">
        <v>369</v>
      </c>
      <c r="E48" t="s">
        <v>64</v>
      </c>
      <c r="F48" t="s">
        <v>448</v>
      </c>
    </row>
    <row r="49" ht="15" customHeight="1" spans="1:6" x14ac:dyDescent="0.25">
      <c r="A49" s="36">
        <v>46209</v>
      </c>
      <c r="B49" t="s">
        <v>50</v>
      </c>
      <c r="C49" t="s">
        <v>449</v>
      </c>
      <c r="D49" t="s">
        <v>369</v>
      </c>
      <c r="E49" t="s">
        <v>61</v>
      </c>
      <c r="F49" t="s">
        <v>450</v>
      </c>
    </row>
    <row r="50" ht="15" customHeight="1" spans="1:6" x14ac:dyDescent="0.25">
      <c r="A50" s="36">
        <v>46209</v>
      </c>
      <c r="B50" t="s">
        <v>50</v>
      </c>
      <c r="C50" t="s">
        <v>451</v>
      </c>
      <c r="D50" t="s">
        <v>369</v>
      </c>
      <c r="E50" t="s">
        <v>64</v>
      </c>
      <c r="F50" t="s">
        <v>452</v>
      </c>
    </row>
    <row r="51" ht="15" customHeight="1" spans="1:6" x14ac:dyDescent="0.25">
      <c r="A51" s="36">
        <v>46209</v>
      </c>
      <c r="B51" t="s">
        <v>50</v>
      </c>
      <c r="C51" t="s">
        <v>453</v>
      </c>
      <c r="D51" t="s">
        <v>369</v>
      </c>
      <c r="E51" t="s">
        <v>65</v>
      </c>
      <c r="F51" t="s">
        <v>454</v>
      </c>
    </row>
    <row r="52" ht="15" customHeight="1" spans="1:6" x14ac:dyDescent="0.25">
      <c r="A52" s="36">
        <v>46209</v>
      </c>
      <c r="B52" t="s">
        <v>50</v>
      </c>
      <c r="C52" t="s">
        <v>455</v>
      </c>
      <c r="D52" t="s">
        <v>369</v>
      </c>
      <c r="E52" t="s">
        <v>61</v>
      </c>
      <c r="F52" t="s">
        <v>456</v>
      </c>
    </row>
    <row r="53" ht="15" customHeight="1" spans="1:6" x14ac:dyDescent="0.25">
      <c r="A53" s="36">
        <v>46209</v>
      </c>
      <c r="B53" t="s">
        <v>50</v>
      </c>
      <c r="C53" t="s">
        <v>457</v>
      </c>
      <c r="D53" t="s">
        <v>369</v>
      </c>
      <c r="E53" t="s">
        <v>61</v>
      </c>
      <c r="F53" t="s">
        <v>458</v>
      </c>
    </row>
    <row r="54" ht="15" customHeight="1" spans="1:6" x14ac:dyDescent="0.25">
      <c r="A54" s="36">
        <v>46209</v>
      </c>
      <c r="B54" t="s">
        <v>50</v>
      </c>
      <c r="C54" t="s">
        <v>459</v>
      </c>
      <c r="D54" t="s">
        <v>369</v>
      </c>
      <c r="E54" t="s">
        <v>61</v>
      </c>
      <c r="F54" t="s">
        <v>460</v>
      </c>
    </row>
    <row r="55" ht="15" customHeight="1" spans="1:6" x14ac:dyDescent="0.25">
      <c r="A55" s="36">
        <v>46209</v>
      </c>
      <c r="B55" t="s">
        <v>50</v>
      </c>
      <c r="C55" t="s">
        <v>461</v>
      </c>
      <c r="D55" t="s">
        <v>369</v>
      </c>
      <c r="E55" t="s">
        <v>60</v>
      </c>
      <c r="F55" t="s">
        <v>462</v>
      </c>
    </row>
    <row r="56" ht="15" customHeight="1" spans="1:6" x14ac:dyDescent="0.25">
      <c r="A56" s="36">
        <v>46209</v>
      </c>
      <c r="B56" t="s">
        <v>50</v>
      </c>
      <c r="C56" t="s">
        <v>463</v>
      </c>
      <c r="D56" t="s">
        <v>369</v>
      </c>
      <c r="E56" t="s">
        <v>64</v>
      </c>
      <c r="F56" t="s">
        <v>464</v>
      </c>
    </row>
    <row r="57" ht="15" customHeight="1" spans="1:6" x14ac:dyDescent="0.25">
      <c r="A57" s="36">
        <v>46206</v>
      </c>
      <c r="B57" t="s">
        <v>50</v>
      </c>
      <c r="C57" t="s">
        <v>438</v>
      </c>
      <c r="D57" t="s">
        <v>369</v>
      </c>
      <c r="E57" t="s">
        <v>61</v>
      </c>
      <c r="F57" t="s">
        <v>465</v>
      </c>
    </row>
    <row r="58" ht="15" customHeight="1" spans="1:6" x14ac:dyDescent="0.25">
      <c r="A58" s="36">
        <v>46206</v>
      </c>
      <c r="B58" t="s">
        <v>50</v>
      </c>
      <c r="C58" t="s">
        <v>430</v>
      </c>
      <c r="D58" t="s">
        <v>369</v>
      </c>
      <c r="E58" t="s">
        <v>61</v>
      </c>
      <c r="F58" t="s">
        <v>466</v>
      </c>
    </row>
    <row r="59" ht="15" customHeight="1" spans="1:6" x14ac:dyDescent="0.25">
      <c r="A59" s="36">
        <v>46206</v>
      </c>
      <c r="B59" t="s">
        <v>50</v>
      </c>
      <c r="C59" t="s">
        <v>467</v>
      </c>
      <c r="D59" t="s">
        <v>369</v>
      </c>
      <c r="E59" t="s">
        <v>61</v>
      </c>
      <c r="F59" t="s">
        <v>468</v>
      </c>
    </row>
    <row r="60" ht="15" customHeight="1" spans="1:6" x14ac:dyDescent="0.25">
      <c r="A60" s="36">
        <v>46206</v>
      </c>
      <c r="B60" t="s">
        <v>50</v>
      </c>
      <c r="C60" t="s">
        <v>469</v>
      </c>
      <c r="D60" t="s">
        <v>369</v>
      </c>
      <c r="E60" t="s">
        <v>61</v>
      </c>
      <c r="F60" t="s">
        <v>470</v>
      </c>
    </row>
    <row r="61" ht="15" customHeight="1" spans="1:6" x14ac:dyDescent="0.25">
      <c r="A61" s="36">
        <v>46206</v>
      </c>
      <c r="B61" t="s">
        <v>50</v>
      </c>
      <c r="C61" t="s">
        <v>471</v>
      </c>
      <c r="D61" t="s">
        <v>369</v>
      </c>
      <c r="E61" t="s">
        <v>60</v>
      </c>
      <c r="F61" t="s">
        <v>472</v>
      </c>
    </row>
    <row r="62" ht="15" customHeight="1" spans="1:6" x14ac:dyDescent="0.25">
      <c r="A62" s="36">
        <v>46206</v>
      </c>
      <c r="B62" t="s">
        <v>50</v>
      </c>
      <c r="C62" t="s">
        <v>473</v>
      </c>
      <c r="D62" t="s">
        <v>369</v>
      </c>
      <c r="E62" t="s">
        <v>61</v>
      </c>
      <c r="F62" t="s">
        <v>474</v>
      </c>
    </row>
    <row r="63" ht="15" customHeight="1" spans="1:6" x14ac:dyDescent="0.25">
      <c r="A63" s="36">
        <v>46206</v>
      </c>
      <c r="B63" t="s">
        <v>50</v>
      </c>
      <c r="C63" t="s">
        <v>475</v>
      </c>
      <c r="D63" t="s">
        <v>369</v>
      </c>
      <c r="E63" t="s">
        <v>61</v>
      </c>
      <c r="F63" t="s">
        <v>476</v>
      </c>
    </row>
    <row r="64" ht="15" customHeight="1" spans="1:6" x14ac:dyDescent="0.25">
      <c r="A64" s="36">
        <v>46206</v>
      </c>
      <c r="B64" t="s">
        <v>50</v>
      </c>
      <c r="C64" t="s">
        <v>477</v>
      </c>
      <c r="D64" t="s">
        <v>369</v>
      </c>
      <c r="E64" t="s">
        <v>61</v>
      </c>
      <c r="F64" t="s">
        <v>478</v>
      </c>
    </row>
    <row r="65" ht="15" customHeight="1" spans="1:6" x14ac:dyDescent="0.25">
      <c r="A65" s="36">
        <v>46206</v>
      </c>
      <c r="B65" t="s">
        <v>50</v>
      </c>
      <c r="C65" t="s">
        <v>479</v>
      </c>
      <c r="D65" t="s">
        <v>369</v>
      </c>
      <c r="E65" t="s">
        <v>61</v>
      </c>
      <c r="F65" t="s">
        <v>480</v>
      </c>
    </row>
    <row r="66" ht="15" customHeight="1" spans="1:6" x14ac:dyDescent="0.25">
      <c r="A66" s="36">
        <v>46206</v>
      </c>
      <c r="B66" t="s">
        <v>50</v>
      </c>
      <c r="C66" t="s">
        <v>279</v>
      </c>
      <c r="D66" t="s">
        <v>369</v>
      </c>
      <c r="E66" t="s">
        <v>60</v>
      </c>
      <c r="F66" t="s">
        <v>481</v>
      </c>
    </row>
    <row r="67" ht="15" customHeight="1" spans="1:6" x14ac:dyDescent="0.25">
      <c r="A67" s="36">
        <v>46206</v>
      </c>
      <c r="B67" t="s">
        <v>50</v>
      </c>
      <c r="C67" t="s">
        <v>482</v>
      </c>
      <c r="D67" t="s">
        <v>369</v>
      </c>
      <c r="E67" t="s">
        <v>61</v>
      </c>
      <c r="F67" t="s">
        <v>483</v>
      </c>
    </row>
    <row r="68" ht="15" customHeight="1" spans="1:6" x14ac:dyDescent="0.25">
      <c r="A68" s="36">
        <v>46206</v>
      </c>
      <c r="B68" t="s">
        <v>50</v>
      </c>
      <c r="C68" t="s">
        <v>484</v>
      </c>
      <c r="D68" t="s">
        <v>369</v>
      </c>
      <c r="E68" t="s">
        <v>61</v>
      </c>
      <c r="F68" t="s">
        <v>485</v>
      </c>
    </row>
    <row r="69" ht="15" customHeight="1" spans="1:6" x14ac:dyDescent="0.25">
      <c r="A69" s="36">
        <v>46206</v>
      </c>
      <c r="B69" t="s">
        <v>50</v>
      </c>
      <c r="C69" t="s">
        <v>279</v>
      </c>
      <c r="D69" t="s">
        <v>369</v>
      </c>
      <c r="E69" t="s">
        <v>60</v>
      </c>
      <c r="F69" t="s">
        <v>486</v>
      </c>
    </row>
    <row r="70" ht="15" customHeight="1" spans="1:6" x14ac:dyDescent="0.25">
      <c r="A70" s="36">
        <v>46206</v>
      </c>
      <c r="B70" t="s">
        <v>50</v>
      </c>
      <c r="C70" t="s">
        <v>487</v>
      </c>
      <c r="D70" t="s">
        <v>369</v>
      </c>
      <c r="E70" t="s">
        <v>61</v>
      </c>
      <c r="F70" t="s">
        <v>488</v>
      </c>
    </row>
    <row r="71" ht="15" customHeight="1" spans="1:6" x14ac:dyDescent="0.25">
      <c r="A71" s="36">
        <v>46206</v>
      </c>
      <c r="B71" t="s">
        <v>50</v>
      </c>
      <c r="C71" t="s">
        <v>489</v>
      </c>
      <c r="D71" t="s">
        <v>369</v>
      </c>
      <c r="E71" t="s">
        <v>61</v>
      </c>
      <c r="F71" t="s">
        <v>490</v>
      </c>
    </row>
    <row r="72" ht="15" customHeight="1" spans="1:6" x14ac:dyDescent="0.25">
      <c r="A72" s="36">
        <v>46206</v>
      </c>
      <c r="B72" t="s">
        <v>50</v>
      </c>
      <c r="C72" t="s">
        <v>491</v>
      </c>
      <c r="D72" t="s">
        <v>369</v>
      </c>
      <c r="E72" t="s">
        <v>61</v>
      </c>
      <c r="F72" t="s">
        <v>492</v>
      </c>
    </row>
    <row r="73" ht="15" customHeight="1" spans="1:6" x14ac:dyDescent="0.25">
      <c r="A73" s="36">
        <v>46206</v>
      </c>
      <c r="B73" t="s">
        <v>50</v>
      </c>
      <c r="C73" t="s">
        <v>493</v>
      </c>
      <c r="D73" t="s">
        <v>369</v>
      </c>
      <c r="E73" t="s">
        <v>60</v>
      </c>
      <c r="F73" t="s">
        <v>494</v>
      </c>
    </row>
    <row r="74" ht="15" customHeight="1" spans="1:6" x14ac:dyDescent="0.25">
      <c r="A74" s="36">
        <v>46206</v>
      </c>
      <c r="B74" t="s">
        <v>50</v>
      </c>
      <c r="C74" t="s">
        <v>495</v>
      </c>
      <c r="D74" t="s">
        <v>369</v>
      </c>
      <c r="E74" t="s">
        <v>61</v>
      </c>
      <c r="F74" t="s">
        <v>496</v>
      </c>
    </row>
    <row r="75" ht="15" customHeight="1" spans="1:6" x14ac:dyDescent="0.25">
      <c r="A75" s="36">
        <v>46206</v>
      </c>
      <c r="B75" t="s">
        <v>50</v>
      </c>
      <c r="C75" t="s">
        <v>497</v>
      </c>
      <c r="D75" t="s">
        <v>369</v>
      </c>
      <c r="E75" t="s">
        <v>61</v>
      </c>
      <c r="F75" t="s">
        <v>498</v>
      </c>
    </row>
    <row r="76" ht="15" customHeight="1" spans="1:6" x14ac:dyDescent="0.25">
      <c r="A76" s="36">
        <v>46206</v>
      </c>
      <c r="B76" t="s">
        <v>50</v>
      </c>
      <c r="C76" t="s">
        <v>499</v>
      </c>
      <c r="D76" t="s">
        <v>369</v>
      </c>
      <c r="E76" t="s">
        <v>61</v>
      </c>
      <c r="F76" t="s">
        <v>500</v>
      </c>
    </row>
    <row r="77" ht="15" customHeight="1" spans="1:6" x14ac:dyDescent="0.25">
      <c r="A77" s="36">
        <v>46206</v>
      </c>
      <c r="B77" t="s">
        <v>50</v>
      </c>
      <c r="C77" t="s">
        <v>501</v>
      </c>
      <c r="D77" t="s">
        <v>369</v>
      </c>
      <c r="E77" t="s">
        <v>61</v>
      </c>
      <c r="F77" t="s">
        <v>502</v>
      </c>
    </row>
    <row r="78" ht="15" customHeight="1" spans="1:6" x14ac:dyDescent="0.25">
      <c r="A78" s="36">
        <v>46205</v>
      </c>
      <c r="B78" t="s">
        <v>50</v>
      </c>
      <c r="C78" t="s">
        <v>445</v>
      </c>
      <c r="D78" t="s">
        <v>369</v>
      </c>
      <c r="E78" t="s">
        <v>61</v>
      </c>
      <c r="F78" t="s">
        <v>503</v>
      </c>
    </row>
    <row r="79" ht="15" customHeight="1" spans="1:6" x14ac:dyDescent="0.25">
      <c r="A79" s="36">
        <v>46205</v>
      </c>
      <c r="B79" t="s">
        <v>50</v>
      </c>
      <c r="C79" t="s">
        <v>504</v>
      </c>
      <c r="D79" t="s">
        <v>369</v>
      </c>
      <c r="E79" t="s">
        <v>61</v>
      </c>
      <c r="F79" t="s">
        <v>505</v>
      </c>
    </row>
    <row r="80" ht="15" customHeight="1" spans="1:6" x14ac:dyDescent="0.25">
      <c r="A80" s="36">
        <v>46205</v>
      </c>
      <c r="B80" t="s">
        <v>50</v>
      </c>
      <c r="C80" t="s">
        <v>434</v>
      </c>
      <c r="D80" t="s">
        <v>369</v>
      </c>
      <c r="E80" t="s">
        <v>60</v>
      </c>
      <c r="F80" t="s">
        <v>506</v>
      </c>
    </row>
    <row r="81" ht="15" customHeight="1" spans="1:6" x14ac:dyDescent="0.25">
      <c r="A81" s="36">
        <v>46205</v>
      </c>
      <c r="B81" t="s">
        <v>50</v>
      </c>
      <c r="C81" t="s">
        <v>507</v>
      </c>
      <c r="D81" t="s">
        <v>369</v>
      </c>
      <c r="E81" t="s">
        <v>60</v>
      </c>
      <c r="F81" t="s">
        <v>508</v>
      </c>
    </row>
    <row r="82" ht="15" customHeight="1" spans="1:6" x14ac:dyDescent="0.25">
      <c r="A82" s="36">
        <v>46205</v>
      </c>
      <c r="B82" t="s">
        <v>50</v>
      </c>
      <c r="C82" t="s">
        <v>509</v>
      </c>
      <c r="D82" t="s">
        <v>369</v>
      </c>
      <c r="E82" t="s">
        <v>60</v>
      </c>
      <c r="F82" t="s">
        <v>510</v>
      </c>
    </row>
    <row r="83" ht="15" customHeight="1" spans="1:6" x14ac:dyDescent="0.25">
      <c r="A83" s="36">
        <v>46205</v>
      </c>
      <c r="B83" t="s">
        <v>50</v>
      </c>
      <c r="C83" t="s">
        <v>511</v>
      </c>
      <c r="D83" t="s">
        <v>369</v>
      </c>
      <c r="E83" t="s">
        <v>60</v>
      </c>
      <c r="F83" t="s">
        <v>512</v>
      </c>
    </row>
    <row r="84" ht="15" customHeight="1" spans="1:6" x14ac:dyDescent="0.25">
      <c r="A84" s="36">
        <v>46205</v>
      </c>
      <c r="B84" t="s">
        <v>50</v>
      </c>
      <c r="C84" t="s">
        <v>513</v>
      </c>
      <c r="D84" t="s">
        <v>369</v>
      </c>
      <c r="E84" t="s">
        <v>60</v>
      </c>
      <c r="F84" t="s">
        <v>514</v>
      </c>
    </row>
    <row r="85" ht="15" customHeight="1" spans="1:6" x14ac:dyDescent="0.25">
      <c r="A85" s="36">
        <v>46205</v>
      </c>
      <c r="B85" t="s">
        <v>50</v>
      </c>
      <c r="C85" t="s">
        <v>515</v>
      </c>
      <c r="D85" t="s">
        <v>369</v>
      </c>
      <c r="E85" t="s">
        <v>60</v>
      </c>
      <c r="F85" t="s">
        <v>516</v>
      </c>
    </row>
    <row r="86" ht="15" customHeight="1" spans="1:6" x14ac:dyDescent="0.25">
      <c r="A86" s="36">
        <v>46205</v>
      </c>
      <c r="B86" t="s">
        <v>50</v>
      </c>
      <c r="C86" t="s">
        <v>368</v>
      </c>
      <c r="D86" t="s">
        <v>369</v>
      </c>
      <c r="E86" t="s">
        <v>61</v>
      </c>
      <c r="F86" t="s">
        <v>517</v>
      </c>
    </row>
    <row r="87" ht="15" customHeight="1" spans="1:6" x14ac:dyDescent="0.25">
      <c r="A87" s="36">
        <v>46205</v>
      </c>
      <c r="B87" t="s">
        <v>50</v>
      </c>
      <c r="C87" t="s">
        <v>518</v>
      </c>
      <c r="D87" t="s">
        <v>369</v>
      </c>
      <c r="E87" t="s">
        <v>61</v>
      </c>
      <c r="F87" t="s">
        <v>519</v>
      </c>
    </row>
    <row r="88" ht="15" customHeight="1" spans="1:6" x14ac:dyDescent="0.25">
      <c r="A88" s="36">
        <v>46205</v>
      </c>
      <c r="B88" t="s">
        <v>50</v>
      </c>
      <c r="C88" t="s">
        <v>447</v>
      </c>
      <c r="D88" t="s">
        <v>369</v>
      </c>
      <c r="E88" t="s">
        <v>61</v>
      </c>
      <c r="F88" t="s">
        <v>520</v>
      </c>
    </row>
    <row r="89" ht="15" customHeight="1" spans="1:6" x14ac:dyDescent="0.25">
      <c r="A89" s="36">
        <v>46205</v>
      </c>
      <c r="B89" t="s">
        <v>50</v>
      </c>
      <c r="C89" t="s">
        <v>521</v>
      </c>
      <c r="D89" t="s">
        <v>369</v>
      </c>
      <c r="E89" t="s">
        <v>63</v>
      </c>
      <c r="F89" t="s">
        <v>522</v>
      </c>
    </row>
    <row r="90" ht="15" customHeight="1" spans="1:6" x14ac:dyDescent="0.25">
      <c r="A90" s="36">
        <v>46205</v>
      </c>
      <c r="B90" t="s">
        <v>50</v>
      </c>
      <c r="C90" t="s">
        <v>523</v>
      </c>
      <c r="D90" t="s">
        <v>369</v>
      </c>
      <c r="E90" t="s">
        <v>60</v>
      </c>
      <c r="F90" t="s">
        <v>524</v>
      </c>
    </row>
    <row r="91" ht="15" customHeight="1" spans="1:6" x14ac:dyDescent="0.25">
      <c r="A91" s="36">
        <v>46205</v>
      </c>
      <c r="B91" t="s">
        <v>50</v>
      </c>
      <c r="C91" t="s">
        <v>525</v>
      </c>
      <c r="D91" t="s">
        <v>369</v>
      </c>
      <c r="E91" t="s">
        <v>60</v>
      </c>
      <c r="F91" t="s">
        <v>526</v>
      </c>
    </row>
    <row r="92" ht="15" customHeight="1" spans="1:6" x14ac:dyDescent="0.25">
      <c r="A92" s="36">
        <v>46205</v>
      </c>
      <c r="B92" t="s">
        <v>50</v>
      </c>
      <c r="C92" t="s">
        <v>527</v>
      </c>
      <c r="D92" t="s">
        <v>369</v>
      </c>
      <c r="E92" t="s">
        <v>61</v>
      </c>
      <c r="F92" t="s">
        <v>528</v>
      </c>
    </row>
    <row r="93" ht="15" customHeight="1" spans="1:6" x14ac:dyDescent="0.25">
      <c r="A93" s="36">
        <v>46205</v>
      </c>
      <c r="B93" t="s">
        <v>50</v>
      </c>
      <c r="C93" t="s">
        <v>529</v>
      </c>
      <c r="D93" t="s">
        <v>369</v>
      </c>
      <c r="E93" t="s">
        <v>61</v>
      </c>
      <c r="F93" t="s">
        <v>530</v>
      </c>
    </row>
    <row r="94" ht="15" customHeight="1" spans="1:6" x14ac:dyDescent="0.25">
      <c r="A94" s="36">
        <v>46205</v>
      </c>
      <c r="B94" t="s">
        <v>50</v>
      </c>
      <c r="C94" t="s">
        <v>531</v>
      </c>
      <c r="D94" t="s">
        <v>369</v>
      </c>
      <c r="E94" t="s">
        <v>60</v>
      </c>
      <c r="F94" t="s">
        <v>532</v>
      </c>
    </row>
    <row r="95" ht="15" customHeight="1" spans="1:6" x14ac:dyDescent="0.25">
      <c r="A95" s="36">
        <v>46205</v>
      </c>
      <c r="B95" t="s">
        <v>50</v>
      </c>
      <c r="C95" t="s">
        <v>533</v>
      </c>
      <c r="D95" t="s">
        <v>369</v>
      </c>
      <c r="E95" t="s">
        <v>60</v>
      </c>
      <c r="F95" t="s">
        <v>534</v>
      </c>
    </row>
    <row r="96" ht="15" customHeight="1" spans="1:6" x14ac:dyDescent="0.25">
      <c r="A96" s="36">
        <v>46205</v>
      </c>
      <c r="B96" t="s">
        <v>50</v>
      </c>
      <c r="C96" t="s">
        <v>535</v>
      </c>
      <c r="D96" t="s">
        <v>369</v>
      </c>
      <c r="E96" t="s">
        <v>64</v>
      </c>
      <c r="F96" t="s">
        <v>536</v>
      </c>
    </row>
    <row r="97" ht="15" customHeight="1" spans="1:6" x14ac:dyDescent="0.25">
      <c r="A97" s="36">
        <v>46205</v>
      </c>
      <c r="B97" t="s">
        <v>50</v>
      </c>
      <c r="C97" t="s">
        <v>513</v>
      </c>
      <c r="D97" t="s">
        <v>369</v>
      </c>
      <c r="E97" t="s">
        <v>61</v>
      </c>
      <c r="F97" t="s">
        <v>537</v>
      </c>
    </row>
    <row r="98" ht="15" customHeight="1" spans="1:6" x14ac:dyDescent="0.25">
      <c r="A98" s="36">
        <v>46205</v>
      </c>
      <c r="B98" t="s">
        <v>50</v>
      </c>
      <c r="C98" t="s">
        <v>538</v>
      </c>
      <c r="D98" t="s">
        <v>369</v>
      </c>
      <c r="E98" t="s">
        <v>60</v>
      </c>
      <c r="F98" t="s">
        <v>539</v>
      </c>
    </row>
    <row r="99" ht="15" customHeight="1" spans="1:6" x14ac:dyDescent="0.25">
      <c r="A99" s="36">
        <v>46205</v>
      </c>
      <c r="B99" t="s">
        <v>50</v>
      </c>
      <c r="C99" t="s">
        <v>540</v>
      </c>
      <c r="D99" t="s">
        <v>369</v>
      </c>
      <c r="E99" t="s">
        <v>65</v>
      </c>
      <c r="F99" t="s">
        <v>541</v>
      </c>
    </row>
    <row r="100" ht="15" customHeight="1" spans="1:6" x14ac:dyDescent="0.25">
      <c r="A100" s="36">
        <v>46204</v>
      </c>
      <c r="B100" t="s">
        <v>50</v>
      </c>
      <c r="C100" t="s">
        <v>542</v>
      </c>
      <c r="D100" t="s">
        <v>369</v>
      </c>
      <c r="E100" t="s">
        <v>64</v>
      </c>
      <c r="F100" t="s">
        <v>543</v>
      </c>
    </row>
    <row r="101" ht="15" customHeight="1" spans="1:6" x14ac:dyDescent="0.25">
      <c r="A101" s="36">
        <v>46204</v>
      </c>
      <c r="B101" t="s">
        <v>50</v>
      </c>
      <c r="C101" t="s">
        <v>544</v>
      </c>
      <c r="D101" t="s">
        <v>369</v>
      </c>
      <c r="E101" t="s">
        <v>61</v>
      </c>
      <c r="F101" t="s">
        <v>545</v>
      </c>
    </row>
    <row r="102" ht="15" customHeight="1" spans="1:6" x14ac:dyDescent="0.25">
      <c r="A102" s="36">
        <v>46204</v>
      </c>
      <c r="B102" t="s">
        <v>50</v>
      </c>
      <c r="C102" t="s">
        <v>546</v>
      </c>
      <c r="D102" t="s">
        <v>369</v>
      </c>
      <c r="E102" t="s">
        <v>61</v>
      </c>
      <c r="F102" t="s">
        <v>547</v>
      </c>
    </row>
    <row r="103" ht="15" customHeight="1" spans="1:6" x14ac:dyDescent="0.25">
      <c r="A103" s="36">
        <v>46204</v>
      </c>
      <c r="B103" t="s">
        <v>50</v>
      </c>
      <c r="C103" t="s">
        <v>548</v>
      </c>
      <c r="D103" t="s">
        <v>369</v>
      </c>
      <c r="E103" t="s">
        <v>62</v>
      </c>
      <c r="F103" t="s">
        <v>549</v>
      </c>
    </row>
    <row r="104" ht="15" customHeight="1" spans="1:6" x14ac:dyDescent="0.25">
      <c r="A104" s="36">
        <v>46204</v>
      </c>
      <c r="B104" t="s">
        <v>50</v>
      </c>
      <c r="C104" t="s">
        <v>550</v>
      </c>
      <c r="D104" t="s">
        <v>369</v>
      </c>
      <c r="E104" t="s">
        <v>60</v>
      </c>
      <c r="F104" t="s">
        <v>551</v>
      </c>
    </row>
    <row r="105" ht="15" customHeight="1" spans="1:6" x14ac:dyDescent="0.25">
      <c r="A105" s="36">
        <v>46204</v>
      </c>
      <c r="B105" t="s">
        <v>50</v>
      </c>
      <c r="C105" t="s">
        <v>552</v>
      </c>
      <c r="D105" t="s">
        <v>369</v>
      </c>
      <c r="E105" t="s">
        <v>60</v>
      </c>
      <c r="F105" t="s">
        <v>553</v>
      </c>
    </row>
    <row r="106" ht="15" customHeight="1" spans="1:6" x14ac:dyDescent="0.25">
      <c r="A106" s="36">
        <v>46204</v>
      </c>
      <c r="B106" t="s">
        <v>50</v>
      </c>
      <c r="C106" t="s">
        <v>554</v>
      </c>
      <c r="D106" t="s">
        <v>369</v>
      </c>
      <c r="E106" t="s">
        <v>63</v>
      </c>
      <c r="F106" t="s">
        <v>555</v>
      </c>
    </row>
    <row r="107" ht="15" customHeight="1" spans="1:6" x14ac:dyDescent="0.25">
      <c r="A107" s="36">
        <v>46204</v>
      </c>
      <c r="B107" t="s">
        <v>50</v>
      </c>
      <c r="C107" t="s">
        <v>556</v>
      </c>
      <c r="D107" t="s">
        <v>369</v>
      </c>
      <c r="E107" t="s">
        <v>61</v>
      </c>
      <c r="F107" t="s">
        <v>557</v>
      </c>
    </row>
    <row r="108" ht="15" customHeight="1" spans="1:6" x14ac:dyDescent="0.25">
      <c r="A108" s="36">
        <v>46204</v>
      </c>
      <c r="B108" t="s">
        <v>50</v>
      </c>
      <c r="C108" t="s">
        <v>558</v>
      </c>
      <c r="D108" t="s">
        <v>369</v>
      </c>
      <c r="E108" t="s">
        <v>60</v>
      </c>
      <c r="F108" t="s">
        <v>559</v>
      </c>
    </row>
    <row r="109" ht="15" customHeight="1" spans="1:6" x14ac:dyDescent="0.25">
      <c r="A109" s="36">
        <v>46204</v>
      </c>
      <c r="B109" t="s">
        <v>50</v>
      </c>
      <c r="C109" t="s">
        <v>560</v>
      </c>
      <c r="D109" t="s">
        <v>369</v>
      </c>
      <c r="E109" t="s">
        <v>60</v>
      </c>
      <c r="F109" t="s">
        <v>561</v>
      </c>
    </row>
    <row r="110" ht="15" customHeight="1" spans="1:6" x14ac:dyDescent="0.25">
      <c r="A110" s="36">
        <v>46204</v>
      </c>
      <c r="B110" t="s">
        <v>50</v>
      </c>
      <c r="C110" t="s">
        <v>562</v>
      </c>
      <c r="D110" t="s">
        <v>369</v>
      </c>
      <c r="E110" t="s">
        <v>61</v>
      </c>
      <c r="F110" t="s">
        <v>563</v>
      </c>
    </row>
    <row r="111" ht="15" customHeight="1" spans="1:6" x14ac:dyDescent="0.25">
      <c r="A111" s="36">
        <v>46204</v>
      </c>
      <c r="B111" t="s">
        <v>50</v>
      </c>
      <c r="C111" t="s">
        <v>564</v>
      </c>
      <c r="D111" t="s">
        <v>369</v>
      </c>
      <c r="E111" t="s">
        <v>60</v>
      </c>
      <c r="F111" t="s">
        <v>565</v>
      </c>
    </row>
    <row r="112" ht="15" customHeight="1" spans="1:6" x14ac:dyDescent="0.25">
      <c r="A112" s="36">
        <v>46204</v>
      </c>
      <c r="B112" t="s">
        <v>50</v>
      </c>
      <c r="C112" t="s">
        <v>566</v>
      </c>
      <c r="D112" t="s">
        <v>369</v>
      </c>
      <c r="E112" t="s">
        <v>60</v>
      </c>
      <c r="F112" t="s">
        <v>567</v>
      </c>
    </row>
    <row r="113" ht="15" customHeight="1" spans="1:6" x14ac:dyDescent="0.25">
      <c r="A113" s="36">
        <v>46211</v>
      </c>
      <c r="B113" t="s">
        <v>51</v>
      </c>
      <c r="C113" t="s">
        <v>568</v>
      </c>
      <c r="D113" t="s">
        <v>369</v>
      </c>
      <c r="E113" t="s">
        <v>60</v>
      </c>
      <c r="F113" t="s">
        <v>569</v>
      </c>
    </row>
    <row r="114" ht="15" customHeight="1" spans="1:6" x14ac:dyDescent="0.25">
      <c r="A114" s="36">
        <v>46211</v>
      </c>
      <c r="B114" t="s">
        <v>51</v>
      </c>
      <c r="C114" t="s">
        <v>568</v>
      </c>
      <c r="D114" t="s">
        <v>369</v>
      </c>
      <c r="E114" t="s">
        <v>60</v>
      </c>
      <c r="F114" t="s">
        <v>570</v>
      </c>
    </row>
    <row r="115" ht="15" customHeight="1" spans="1:6" x14ac:dyDescent="0.25">
      <c r="A115" s="36">
        <v>46210</v>
      </c>
      <c r="B115" t="s">
        <v>51</v>
      </c>
      <c r="C115" t="s">
        <v>571</v>
      </c>
      <c r="D115" t="s">
        <v>369</v>
      </c>
      <c r="E115" t="s">
        <v>60</v>
      </c>
      <c r="F115" t="s">
        <v>572</v>
      </c>
    </row>
    <row r="116" ht="15" customHeight="1" spans="1:6" x14ac:dyDescent="0.25">
      <c r="A116" s="36">
        <v>46210</v>
      </c>
      <c r="B116" t="s">
        <v>51</v>
      </c>
      <c r="C116" t="s">
        <v>573</v>
      </c>
      <c r="D116" t="s">
        <v>369</v>
      </c>
      <c r="E116" t="s">
        <v>60</v>
      </c>
      <c r="F116" t="s">
        <v>574</v>
      </c>
    </row>
    <row r="117" ht="15" customHeight="1" spans="1:6" x14ac:dyDescent="0.25">
      <c r="A117" s="36">
        <v>46210</v>
      </c>
      <c r="B117" t="s">
        <v>51</v>
      </c>
      <c r="C117" t="s">
        <v>159</v>
      </c>
      <c r="D117" t="s">
        <v>369</v>
      </c>
      <c r="E117" t="s">
        <v>60</v>
      </c>
      <c r="F117" t="s">
        <v>575</v>
      </c>
    </row>
    <row r="118" ht="15" customHeight="1" spans="1:6" x14ac:dyDescent="0.25">
      <c r="A118" s="36">
        <v>46209</v>
      </c>
      <c r="B118" t="s">
        <v>51</v>
      </c>
      <c r="C118" t="s">
        <v>576</v>
      </c>
      <c r="D118" t="s">
        <v>369</v>
      </c>
      <c r="E118" t="s">
        <v>60</v>
      </c>
      <c r="F118" t="s">
        <v>577</v>
      </c>
    </row>
    <row r="119" ht="15" customHeight="1" spans="1:6" x14ac:dyDescent="0.25">
      <c r="A119" s="36">
        <v>46209</v>
      </c>
      <c r="B119" t="s">
        <v>51</v>
      </c>
      <c r="C119" t="s">
        <v>578</v>
      </c>
      <c r="D119" t="s">
        <v>369</v>
      </c>
      <c r="E119" t="s">
        <v>63</v>
      </c>
      <c r="F119" t="s">
        <v>579</v>
      </c>
    </row>
    <row r="120" ht="15" customHeight="1" spans="1:6" x14ac:dyDescent="0.25">
      <c r="A120" s="36">
        <v>46209</v>
      </c>
      <c r="B120" t="s">
        <v>51</v>
      </c>
      <c r="C120" t="s">
        <v>580</v>
      </c>
      <c r="D120" t="s">
        <v>369</v>
      </c>
      <c r="E120" t="s">
        <v>63</v>
      </c>
      <c r="F120" t="s">
        <v>581</v>
      </c>
    </row>
    <row r="121" ht="15" customHeight="1" spans="1:6" x14ac:dyDescent="0.25">
      <c r="A121" s="36">
        <v>46209</v>
      </c>
      <c r="B121" t="s">
        <v>51</v>
      </c>
      <c r="C121" t="s">
        <v>580</v>
      </c>
      <c r="D121" t="s">
        <v>369</v>
      </c>
      <c r="E121" t="s">
        <v>61</v>
      </c>
      <c r="F121" t="s">
        <v>582</v>
      </c>
    </row>
    <row r="122" ht="15" customHeight="1" spans="1:6" x14ac:dyDescent="0.25">
      <c r="A122" s="36">
        <v>46209</v>
      </c>
      <c r="B122" t="s">
        <v>51</v>
      </c>
      <c r="C122" t="s">
        <v>583</v>
      </c>
      <c r="D122" t="s">
        <v>369</v>
      </c>
      <c r="E122" t="s">
        <v>60</v>
      </c>
      <c r="F122" t="s">
        <v>584</v>
      </c>
    </row>
    <row r="123" ht="15" customHeight="1" spans="1:6" x14ac:dyDescent="0.25">
      <c r="A123" s="36">
        <v>46209</v>
      </c>
      <c r="B123" t="s">
        <v>51</v>
      </c>
      <c r="C123" t="s">
        <v>585</v>
      </c>
      <c r="D123" t="s">
        <v>369</v>
      </c>
      <c r="E123" t="s">
        <v>60</v>
      </c>
      <c r="F123" t="s">
        <v>586</v>
      </c>
    </row>
    <row r="124" ht="15" customHeight="1" spans="1:6" x14ac:dyDescent="0.25">
      <c r="A124" s="36">
        <v>46209</v>
      </c>
      <c r="B124" t="s">
        <v>51</v>
      </c>
      <c r="C124" t="s">
        <v>587</v>
      </c>
      <c r="D124" t="s">
        <v>369</v>
      </c>
      <c r="E124" t="s">
        <v>65</v>
      </c>
      <c r="F124" t="s">
        <v>588</v>
      </c>
    </row>
    <row r="125" ht="15" customHeight="1" spans="1:6" x14ac:dyDescent="0.25">
      <c r="A125" s="36">
        <v>46209</v>
      </c>
      <c r="B125" t="s">
        <v>51</v>
      </c>
      <c r="C125" t="s">
        <v>232</v>
      </c>
      <c r="D125" t="s">
        <v>369</v>
      </c>
      <c r="E125" t="s">
        <v>64</v>
      </c>
      <c r="F125" t="s">
        <v>589</v>
      </c>
    </row>
    <row r="126" ht="15" customHeight="1" spans="1:6" x14ac:dyDescent="0.25">
      <c r="A126" s="36">
        <v>46209</v>
      </c>
      <c r="B126" t="s">
        <v>51</v>
      </c>
      <c r="C126" t="s">
        <v>590</v>
      </c>
      <c r="D126" t="s">
        <v>369</v>
      </c>
      <c r="E126" t="s">
        <v>60</v>
      </c>
      <c r="F126" t="s">
        <v>591</v>
      </c>
    </row>
    <row r="127" ht="15" customHeight="1" spans="1:6" x14ac:dyDescent="0.25">
      <c r="A127" s="36">
        <v>46209</v>
      </c>
      <c r="B127" t="s">
        <v>51</v>
      </c>
      <c r="C127" t="s">
        <v>592</v>
      </c>
      <c r="D127" t="s">
        <v>369</v>
      </c>
      <c r="E127" t="s">
        <v>60</v>
      </c>
      <c r="F127" t="s">
        <v>593</v>
      </c>
    </row>
    <row r="128" ht="15" customHeight="1" spans="1:6" x14ac:dyDescent="0.25">
      <c r="A128" s="36">
        <v>46209</v>
      </c>
      <c r="B128" t="s">
        <v>51</v>
      </c>
      <c r="C128" t="s">
        <v>592</v>
      </c>
      <c r="D128" t="s">
        <v>369</v>
      </c>
      <c r="E128" t="s">
        <v>64</v>
      </c>
      <c r="F128" t="s">
        <v>594</v>
      </c>
    </row>
    <row r="129" ht="15" customHeight="1" spans="1:6" x14ac:dyDescent="0.25">
      <c r="A129" s="36">
        <v>46209</v>
      </c>
      <c r="B129" t="s">
        <v>51</v>
      </c>
      <c r="C129" t="s">
        <v>595</v>
      </c>
      <c r="D129" t="s">
        <v>369</v>
      </c>
      <c r="E129" t="s">
        <v>63</v>
      </c>
      <c r="F129" t="s">
        <v>596</v>
      </c>
    </row>
    <row r="130" ht="15" customHeight="1" spans="1:6" x14ac:dyDescent="0.25">
      <c r="A130" s="36">
        <v>46209</v>
      </c>
      <c r="B130" t="s">
        <v>51</v>
      </c>
      <c r="C130" t="s">
        <v>597</v>
      </c>
      <c r="D130" t="s">
        <v>369</v>
      </c>
      <c r="E130" t="s">
        <v>63</v>
      </c>
      <c r="F130" t="s">
        <v>598</v>
      </c>
    </row>
    <row r="131" ht="15" customHeight="1" spans="1:6" x14ac:dyDescent="0.25">
      <c r="A131" s="36">
        <v>46209</v>
      </c>
      <c r="B131" t="s">
        <v>51</v>
      </c>
      <c r="C131" t="s">
        <v>599</v>
      </c>
      <c r="D131" t="s">
        <v>369</v>
      </c>
      <c r="E131" t="s">
        <v>60</v>
      </c>
      <c r="F131" t="s">
        <v>600</v>
      </c>
    </row>
    <row r="132" ht="15" customHeight="1" spans="1:6" x14ac:dyDescent="0.25">
      <c r="A132" s="36">
        <v>46209</v>
      </c>
      <c r="B132" t="s">
        <v>51</v>
      </c>
      <c r="C132" t="s">
        <v>601</v>
      </c>
      <c r="D132" t="s">
        <v>369</v>
      </c>
      <c r="E132" t="s">
        <v>60</v>
      </c>
      <c r="F132" t="s">
        <v>602</v>
      </c>
    </row>
    <row r="133" ht="15" customHeight="1" spans="1:6" x14ac:dyDescent="0.25">
      <c r="A133" s="36">
        <v>46209</v>
      </c>
      <c r="B133" t="s">
        <v>51</v>
      </c>
      <c r="C133" t="s">
        <v>603</v>
      </c>
      <c r="D133" t="s">
        <v>369</v>
      </c>
      <c r="E133" t="s">
        <v>60</v>
      </c>
      <c r="F133" t="s">
        <v>604</v>
      </c>
    </row>
    <row r="134" ht="15" customHeight="1" spans="1:6" x14ac:dyDescent="0.25">
      <c r="A134" s="36">
        <v>46209</v>
      </c>
      <c r="B134" t="s">
        <v>51</v>
      </c>
      <c r="C134" t="s">
        <v>605</v>
      </c>
      <c r="D134" t="s">
        <v>369</v>
      </c>
      <c r="E134" t="s">
        <v>62</v>
      </c>
      <c r="F134" t="s">
        <v>606</v>
      </c>
    </row>
    <row r="135" ht="15" customHeight="1" spans="1:6" x14ac:dyDescent="0.25">
      <c r="A135" s="36">
        <v>46206</v>
      </c>
      <c r="B135" t="s">
        <v>51</v>
      </c>
      <c r="C135" t="s">
        <v>159</v>
      </c>
      <c r="D135" t="s">
        <v>369</v>
      </c>
      <c r="E135" t="s">
        <v>60</v>
      </c>
      <c r="F135" t="s">
        <v>607</v>
      </c>
    </row>
    <row r="136" ht="15" customHeight="1" spans="1:6" x14ac:dyDescent="0.25">
      <c r="A136" s="36">
        <v>46206</v>
      </c>
      <c r="B136" t="s">
        <v>51</v>
      </c>
      <c r="C136" t="s">
        <v>608</v>
      </c>
      <c r="D136" t="s">
        <v>369</v>
      </c>
      <c r="E136" t="s">
        <v>60</v>
      </c>
      <c r="F136" t="s">
        <v>609</v>
      </c>
    </row>
    <row r="137" ht="15" customHeight="1" spans="1:6" x14ac:dyDescent="0.25">
      <c r="A137" s="36">
        <v>46206</v>
      </c>
      <c r="B137" t="s">
        <v>51</v>
      </c>
      <c r="C137" t="s">
        <v>608</v>
      </c>
      <c r="D137" t="s">
        <v>369</v>
      </c>
      <c r="E137" t="s">
        <v>60</v>
      </c>
      <c r="F137" t="s">
        <v>610</v>
      </c>
    </row>
    <row r="138" ht="15" customHeight="1" spans="1:6" x14ac:dyDescent="0.25">
      <c r="A138" s="36">
        <v>46206</v>
      </c>
      <c r="B138" t="s">
        <v>51</v>
      </c>
      <c r="C138" t="s">
        <v>611</v>
      </c>
      <c r="D138" t="s">
        <v>369</v>
      </c>
      <c r="E138" t="s">
        <v>60</v>
      </c>
      <c r="F138" t="s">
        <v>612</v>
      </c>
    </row>
    <row r="139" ht="15" customHeight="1" spans="1:6" x14ac:dyDescent="0.25">
      <c r="A139" s="36">
        <v>46206</v>
      </c>
      <c r="B139" t="s">
        <v>51</v>
      </c>
      <c r="C139" t="s">
        <v>613</v>
      </c>
      <c r="D139" t="s">
        <v>369</v>
      </c>
      <c r="E139" t="s">
        <v>60</v>
      </c>
      <c r="F139" t="s">
        <v>614</v>
      </c>
    </row>
    <row r="140" ht="15" customHeight="1" spans="1:6" x14ac:dyDescent="0.25">
      <c r="A140" s="36">
        <v>46206</v>
      </c>
      <c r="B140" t="s">
        <v>51</v>
      </c>
      <c r="C140" t="s">
        <v>613</v>
      </c>
      <c r="D140" t="s">
        <v>369</v>
      </c>
      <c r="E140" t="s">
        <v>60</v>
      </c>
      <c r="F140" t="s">
        <v>615</v>
      </c>
    </row>
    <row r="141" ht="15" customHeight="1" spans="1:6" x14ac:dyDescent="0.25">
      <c r="A141" s="36">
        <v>46206</v>
      </c>
      <c r="B141" t="s">
        <v>51</v>
      </c>
      <c r="C141" t="s">
        <v>613</v>
      </c>
      <c r="D141" t="s">
        <v>369</v>
      </c>
      <c r="E141" t="s">
        <v>60</v>
      </c>
      <c r="F141" t="s">
        <v>616</v>
      </c>
    </row>
    <row r="142" ht="15" customHeight="1" spans="1:6" x14ac:dyDescent="0.25">
      <c r="A142" s="36">
        <v>46206</v>
      </c>
      <c r="B142" t="s">
        <v>51</v>
      </c>
      <c r="C142" t="s">
        <v>617</v>
      </c>
      <c r="D142" t="s">
        <v>369</v>
      </c>
      <c r="E142" t="s">
        <v>60</v>
      </c>
      <c r="F142" t="s">
        <v>618</v>
      </c>
    </row>
    <row r="143" ht="15" customHeight="1" spans="1:6" x14ac:dyDescent="0.25">
      <c r="A143" s="36">
        <v>46206</v>
      </c>
      <c r="B143" t="s">
        <v>51</v>
      </c>
      <c r="C143" t="s">
        <v>619</v>
      </c>
      <c r="D143" t="s">
        <v>369</v>
      </c>
      <c r="E143" t="s">
        <v>60</v>
      </c>
      <c r="F143" t="s">
        <v>620</v>
      </c>
    </row>
    <row r="144" ht="15" customHeight="1" spans="1:6" x14ac:dyDescent="0.25">
      <c r="A144" s="36">
        <v>46206</v>
      </c>
      <c r="B144" t="s">
        <v>51</v>
      </c>
      <c r="C144" t="s">
        <v>621</v>
      </c>
      <c r="D144" t="s">
        <v>369</v>
      </c>
      <c r="E144" t="s">
        <v>65</v>
      </c>
      <c r="F144" t="s">
        <v>622</v>
      </c>
    </row>
    <row r="145" ht="15" customHeight="1" spans="1:6" x14ac:dyDescent="0.25">
      <c r="A145" s="36">
        <v>46205</v>
      </c>
      <c r="B145" t="s">
        <v>51</v>
      </c>
      <c r="C145" t="s">
        <v>571</v>
      </c>
      <c r="D145" t="s">
        <v>369</v>
      </c>
      <c r="E145" t="s">
        <v>60</v>
      </c>
      <c r="F145" t="s">
        <v>623</v>
      </c>
    </row>
    <row r="146" ht="15" customHeight="1" spans="1:6" x14ac:dyDescent="0.25">
      <c r="A146" s="36">
        <v>46205</v>
      </c>
      <c r="B146" t="s">
        <v>51</v>
      </c>
      <c r="C146" t="s">
        <v>571</v>
      </c>
      <c r="D146" t="s">
        <v>369</v>
      </c>
      <c r="E146" t="s">
        <v>60</v>
      </c>
      <c r="F146" t="s">
        <v>624</v>
      </c>
    </row>
    <row r="147" ht="15" customHeight="1" spans="1:6" x14ac:dyDescent="0.25">
      <c r="A147" s="36">
        <v>46210</v>
      </c>
      <c r="B147" t="s">
        <v>49</v>
      </c>
      <c r="C147" t="s">
        <v>625</v>
      </c>
      <c r="D147" t="s">
        <v>369</v>
      </c>
      <c r="E147" t="s">
        <v>60</v>
      </c>
      <c r="F147" t="s">
        <v>626</v>
      </c>
    </row>
    <row r="148" ht="15" customHeight="1" spans="1:6" x14ac:dyDescent="0.25">
      <c r="A148" s="36">
        <v>46210</v>
      </c>
      <c r="B148" t="s">
        <v>49</v>
      </c>
      <c r="C148" t="s">
        <v>182</v>
      </c>
      <c r="D148" t="s">
        <v>369</v>
      </c>
      <c r="E148" t="s">
        <v>60</v>
      </c>
      <c r="F148" t="s">
        <v>627</v>
      </c>
    </row>
    <row r="149" ht="15" customHeight="1" spans="1:6" x14ac:dyDescent="0.25">
      <c r="A149" s="36">
        <v>46210</v>
      </c>
      <c r="B149" t="s">
        <v>49</v>
      </c>
      <c r="C149" t="s">
        <v>628</v>
      </c>
      <c r="D149" t="s">
        <v>369</v>
      </c>
      <c r="E149" t="s">
        <v>60</v>
      </c>
      <c r="F149" t="s">
        <v>629</v>
      </c>
    </row>
    <row r="150" ht="15" customHeight="1" spans="1:6" x14ac:dyDescent="0.25">
      <c r="A150" s="36">
        <v>46210</v>
      </c>
      <c r="B150" t="s">
        <v>49</v>
      </c>
      <c r="C150" t="s">
        <v>630</v>
      </c>
      <c r="D150" t="s">
        <v>369</v>
      </c>
      <c r="E150" t="s">
        <v>60</v>
      </c>
      <c r="F150" t="s">
        <v>631</v>
      </c>
    </row>
    <row r="151" ht="15" customHeight="1" spans="1:6" x14ac:dyDescent="0.25">
      <c r="A151" s="36">
        <v>46210</v>
      </c>
      <c r="B151" t="s">
        <v>49</v>
      </c>
      <c r="C151" t="s">
        <v>632</v>
      </c>
      <c r="D151" t="s">
        <v>369</v>
      </c>
      <c r="E151" t="s">
        <v>60</v>
      </c>
      <c r="F151" t="s">
        <v>633</v>
      </c>
    </row>
    <row r="152" ht="15" customHeight="1" spans="1:6" x14ac:dyDescent="0.25">
      <c r="A152" s="36">
        <v>46210</v>
      </c>
      <c r="B152" t="s">
        <v>49</v>
      </c>
      <c r="C152" t="s">
        <v>634</v>
      </c>
      <c r="D152" t="s">
        <v>369</v>
      </c>
      <c r="E152" t="s">
        <v>61</v>
      </c>
      <c r="F152" t="s">
        <v>635</v>
      </c>
    </row>
    <row r="153" ht="15" customHeight="1" spans="1:6" x14ac:dyDescent="0.25">
      <c r="A153" s="36">
        <v>46210</v>
      </c>
      <c r="B153" t="s">
        <v>49</v>
      </c>
      <c r="C153" t="s">
        <v>636</v>
      </c>
      <c r="D153" t="s">
        <v>369</v>
      </c>
      <c r="E153" t="s">
        <v>60</v>
      </c>
      <c r="F153" t="s">
        <v>637</v>
      </c>
    </row>
    <row r="154" ht="15" customHeight="1" spans="1:6" x14ac:dyDescent="0.25">
      <c r="A154" s="36">
        <v>46210</v>
      </c>
      <c r="B154" t="s">
        <v>49</v>
      </c>
      <c r="C154" t="s">
        <v>638</v>
      </c>
      <c r="D154" t="s">
        <v>369</v>
      </c>
      <c r="E154" t="s">
        <v>60</v>
      </c>
      <c r="F154" t="s">
        <v>639</v>
      </c>
    </row>
    <row r="155" ht="15" customHeight="1" spans="1:6" x14ac:dyDescent="0.25">
      <c r="A155" s="36">
        <v>46210</v>
      </c>
      <c r="B155" t="s">
        <v>49</v>
      </c>
      <c r="C155" t="s">
        <v>638</v>
      </c>
      <c r="D155" t="s">
        <v>369</v>
      </c>
      <c r="E155" t="s">
        <v>60</v>
      </c>
      <c r="F155" t="s">
        <v>640</v>
      </c>
    </row>
    <row r="156" ht="15" customHeight="1" spans="1:6" x14ac:dyDescent="0.25">
      <c r="A156" s="36">
        <v>46210</v>
      </c>
      <c r="B156" t="s">
        <v>49</v>
      </c>
      <c r="C156" t="s">
        <v>641</v>
      </c>
      <c r="D156" t="s">
        <v>369</v>
      </c>
      <c r="E156" t="s">
        <v>63</v>
      </c>
      <c r="F156" t="s">
        <v>642</v>
      </c>
    </row>
    <row r="157" ht="15" customHeight="1" spans="1:6" x14ac:dyDescent="0.25">
      <c r="A157" s="36">
        <v>46210</v>
      </c>
      <c r="B157" t="s">
        <v>49</v>
      </c>
      <c r="C157" t="s">
        <v>643</v>
      </c>
      <c r="D157" t="s">
        <v>369</v>
      </c>
      <c r="E157" t="s">
        <v>60</v>
      </c>
      <c r="F157" t="s">
        <v>644</v>
      </c>
    </row>
    <row r="158" ht="15" customHeight="1" spans="1:6" x14ac:dyDescent="0.25">
      <c r="A158" s="36">
        <v>46210</v>
      </c>
      <c r="B158" t="s">
        <v>49</v>
      </c>
      <c r="C158" t="s">
        <v>247</v>
      </c>
      <c r="D158" t="s">
        <v>369</v>
      </c>
      <c r="E158" t="s">
        <v>60</v>
      </c>
      <c r="F158" t="s">
        <v>645</v>
      </c>
    </row>
    <row r="159" ht="15" customHeight="1" spans="1:6" x14ac:dyDescent="0.25">
      <c r="A159" s="36">
        <v>46210</v>
      </c>
      <c r="B159" t="s">
        <v>49</v>
      </c>
      <c r="C159" t="s">
        <v>646</v>
      </c>
      <c r="D159" t="s">
        <v>369</v>
      </c>
      <c r="E159" t="s">
        <v>61</v>
      </c>
      <c r="F159" t="s">
        <v>647</v>
      </c>
    </row>
    <row r="160" ht="15" customHeight="1" spans="1:6" x14ac:dyDescent="0.25">
      <c r="A160" s="36">
        <v>46210</v>
      </c>
      <c r="B160" t="s">
        <v>49</v>
      </c>
      <c r="C160" t="s">
        <v>648</v>
      </c>
      <c r="D160" t="s">
        <v>369</v>
      </c>
      <c r="E160" t="s">
        <v>61</v>
      </c>
      <c r="F160" t="s">
        <v>649</v>
      </c>
    </row>
    <row r="161" ht="15" customHeight="1" spans="1:6" x14ac:dyDescent="0.25">
      <c r="A161" s="36">
        <v>46210</v>
      </c>
      <c r="B161" t="s">
        <v>49</v>
      </c>
      <c r="C161" t="s">
        <v>650</v>
      </c>
      <c r="D161" t="s">
        <v>369</v>
      </c>
      <c r="E161" t="s">
        <v>64</v>
      </c>
      <c r="F161" t="s">
        <v>651</v>
      </c>
    </row>
    <row r="162" ht="15" customHeight="1" spans="1:6" x14ac:dyDescent="0.25">
      <c r="A162" s="36">
        <v>46210</v>
      </c>
      <c r="B162" t="s">
        <v>49</v>
      </c>
      <c r="C162" t="s">
        <v>652</v>
      </c>
      <c r="D162" t="s">
        <v>369</v>
      </c>
      <c r="E162" t="s">
        <v>60</v>
      </c>
      <c r="F162" t="s">
        <v>653</v>
      </c>
    </row>
    <row r="163" ht="15" customHeight="1" spans="1:6" x14ac:dyDescent="0.25">
      <c r="A163" s="36">
        <v>46210</v>
      </c>
      <c r="B163" t="s">
        <v>49</v>
      </c>
      <c r="C163" t="s">
        <v>654</v>
      </c>
      <c r="D163" t="s">
        <v>369</v>
      </c>
      <c r="E163" t="s">
        <v>60</v>
      </c>
      <c r="F163" t="s">
        <v>655</v>
      </c>
    </row>
    <row r="164" ht="15" customHeight="1" spans="1:6" x14ac:dyDescent="0.25">
      <c r="A164" s="36">
        <v>46209</v>
      </c>
      <c r="B164" t="s">
        <v>49</v>
      </c>
      <c r="C164" t="s">
        <v>650</v>
      </c>
      <c r="D164" t="s">
        <v>369</v>
      </c>
      <c r="E164" t="s">
        <v>60</v>
      </c>
      <c r="F164" t="s">
        <v>656</v>
      </c>
    </row>
    <row r="165" ht="15" customHeight="1" spans="1:6" x14ac:dyDescent="0.25">
      <c r="A165" s="36">
        <v>46209</v>
      </c>
      <c r="B165" t="s">
        <v>49</v>
      </c>
      <c r="C165" t="s">
        <v>657</v>
      </c>
      <c r="D165" t="s">
        <v>369</v>
      </c>
      <c r="E165" t="s">
        <v>60</v>
      </c>
      <c r="F165" t="s">
        <v>658</v>
      </c>
    </row>
    <row r="166" ht="15" customHeight="1" spans="1:6" x14ac:dyDescent="0.25">
      <c r="A166" s="36">
        <v>46209</v>
      </c>
      <c r="B166" t="s">
        <v>49</v>
      </c>
      <c r="C166" t="s">
        <v>226</v>
      </c>
      <c r="D166" t="s">
        <v>369</v>
      </c>
      <c r="E166" t="s">
        <v>60</v>
      </c>
      <c r="F166" t="s">
        <v>659</v>
      </c>
    </row>
    <row r="167" ht="15" customHeight="1" spans="1:6" x14ac:dyDescent="0.25">
      <c r="A167" s="36">
        <v>46209</v>
      </c>
      <c r="B167" t="s">
        <v>49</v>
      </c>
      <c r="C167" t="s">
        <v>590</v>
      </c>
      <c r="D167" t="s">
        <v>369</v>
      </c>
      <c r="E167" t="s">
        <v>60</v>
      </c>
      <c r="F167" t="s">
        <v>660</v>
      </c>
    </row>
    <row r="168" ht="15" customHeight="1" spans="1:6" x14ac:dyDescent="0.25">
      <c r="A168" s="36">
        <v>46209</v>
      </c>
      <c r="B168" t="s">
        <v>49</v>
      </c>
      <c r="C168" t="s">
        <v>590</v>
      </c>
      <c r="D168" t="s">
        <v>369</v>
      </c>
      <c r="E168" t="s">
        <v>61</v>
      </c>
      <c r="F168" t="s">
        <v>661</v>
      </c>
    </row>
    <row r="169" ht="15" customHeight="1" spans="1:6" x14ac:dyDescent="0.25">
      <c r="A169" s="36">
        <v>46209</v>
      </c>
      <c r="B169" t="s">
        <v>49</v>
      </c>
      <c r="C169" t="s">
        <v>247</v>
      </c>
      <c r="D169" t="s">
        <v>369</v>
      </c>
      <c r="E169" t="s">
        <v>60</v>
      </c>
      <c r="F169" t="s">
        <v>662</v>
      </c>
    </row>
    <row r="170" ht="15" customHeight="1" spans="1:6" x14ac:dyDescent="0.25">
      <c r="A170" s="36">
        <v>46209</v>
      </c>
      <c r="B170" t="s">
        <v>49</v>
      </c>
      <c r="C170" t="s">
        <v>663</v>
      </c>
      <c r="D170" t="s">
        <v>369</v>
      </c>
      <c r="E170" t="s">
        <v>60</v>
      </c>
      <c r="F170" t="s">
        <v>664</v>
      </c>
    </row>
    <row r="171" ht="15" customHeight="1" spans="1:6" x14ac:dyDescent="0.25">
      <c r="A171" s="36">
        <v>46209</v>
      </c>
      <c r="B171" t="s">
        <v>49</v>
      </c>
      <c r="C171" t="s">
        <v>665</v>
      </c>
      <c r="D171" t="s">
        <v>369</v>
      </c>
      <c r="E171" t="s">
        <v>60</v>
      </c>
      <c r="F171" t="s">
        <v>666</v>
      </c>
    </row>
    <row r="172" ht="15" customHeight="1" spans="1:6" x14ac:dyDescent="0.25">
      <c r="A172" s="36">
        <v>46209</v>
      </c>
      <c r="B172" t="s">
        <v>49</v>
      </c>
      <c r="C172" t="s">
        <v>226</v>
      </c>
      <c r="D172" t="s">
        <v>369</v>
      </c>
      <c r="E172" t="s">
        <v>61</v>
      </c>
      <c r="F172" t="s">
        <v>667</v>
      </c>
    </row>
    <row r="173" ht="15" customHeight="1" spans="1:6" x14ac:dyDescent="0.25">
      <c r="A173" s="36">
        <v>46209</v>
      </c>
      <c r="B173" t="s">
        <v>49</v>
      </c>
      <c r="C173" t="s">
        <v>646</v>
      </c>
      <c r="D173" t="s">
        <v>369</v>
      </c>
      <c r="E173" t="s">
        <v>60</v>
      </c>
      <c r="F173" t="s">
        <v>668</v>
      </c>
    </row>
    <row r="174" ht="15" customHeight="1" spans="1:6" x14ac:dyDescent="0.25">
      <c r="A174" s="36">
        <v>46209</v>
      </c>
      <c r="B174" t="s">
        <v>49</v>
      </c>
      <c r="C174" t="s">
        <v>319</v>
      </c>
      <c r="D174" t="s">
        <v>369</v>
      </c>
      <c r="E174" t="s">
        <v>60</v>
      </c>
      <c r="F174" t="s">
        <v>669</v>
      </c>
    </row>
    <row r="175" ht="15" customHeight="1" spans="1:6" x14ac:dyDescent="0.25">
      <c r="A175" s="36">
        <v>46209</v>
      </c>
      <c r="B175" t="s">
        <v>49</v>
      </c>
      <c r="C175" t="s">
        <v>670</v>
      </c>
      <c r="D175" t="s">
        <v>369</v>
      </c>
      <c r="E175" t="s">
        <v>60</v>
      </c>
      <c r="F175" t="s">
        <v>671</v>
      </c>
    </row>
    <row r="176" ht="15" customHeight="1" spans="1:6" x14ac:dyDescent="0.25">
      <c r="A176" s="36">
        <v>46209</v>
      </c>
      <c r="B176" t="s">
        <v>49</v>
      </c>
      <c r="C176" t="s">
        <v>672</v>
      </c>
      <c r="D176" t="s">
        <v>369</v>
      </c>
      <c r="E176" t="s">
        <v>60</v>
      </c>
      <c r="F176" t="s">
        <v>673</v>
      </c>
    </row>
    <row r="177" ht="15" customHeight="1" spans="1:6" x14ac:dyDescent="0.25">
      <c r="A177" s="36">
        <v>46209</v>
      </c>
      <c r="B177" t="s">
        <v>49</v>
      </c>
      <c r="C177" t="s">
        <v>674</v>
      </c>
      <c r="D177" t="s">
        <v>369</v>
      </c>
      <c r="E177" t="s">
        <v>61</v>
      </c>
      <c r="F177" t="s">
        <v>675</v>
      </c>
    </row>
    <row r="178" ht="15" customHeight="1" spans="1:6" x14ac:dyDescent="0.25">
      <c r="A178" s="36">
        <v>46209</v>
      </c>
      <c r="B178" t="s">
        <v>49</v>
      </c>
      <c r="C178" t="s">
        <v>676</v>
      </c>
      <c r="D178" t="s">
        <v>369</v>
      </c>
      <c r="E178" t="s">
        <v>60</v>
      </c>
      <c r="F178" t="s">
        <v>677</v>
      </c>
    </row>
    <row r="179" ht="15" customHeight="1" spans="1:6" x14ac:dyDescent="0.25">
      <c r="A179" s="36">
        <v>46209</v>
      </c>
      <c r="B179" t="s">
        <v>49</v>
      </c>
      <c r="C179" t="s">
        <v>678</v>
      </c>
      <c r="D179" t="s">
        <v>369</v>
      </c>
      <c r="E179" t="s">
        <v>61</v>
      </c>
      <c r="F179" t="s">
        <v>679</v>
      </c>
    </row>
    <row r="180" ht="15" customHeight="1" spans="1:6" x14ac:dyDescent="0.25">
      <c r="A180" s="36">
        <v>46209</v>
      </c>
      <c r="B180" t="s">
        <v>49</v>
      </c>
      <c r="C180" t="s">
        <v>680</v>
      </c>
      <c r="D180" t="s">
        <v>369</v>
      </c>
      <c r="E180" t="s">
        <v>61</v>
      </c>
      <c r="F180" t="s">
        <v>681</v>
      </c>
    </row>
    <row r="181" ht="15" customHeight="1" spans="1:6" x14ac:dyDescent="0.25">
      <c r="A181" s="36">
        <v>46209</v>
      </c>
      <c r="B181" t="s">
        <v>49</v>
      </c>
      <c r="C181" t="s">
        <v>209</v>
      </c>
      <c r="D181" t="s">
        <v>369</v>
      </c>
      <c r="E181" t="s">
        <v>60</v>
      </c>
      <c r="F181" t="s">
        <v>682</v>
      </c>
    </row>
    <row r="182" ht="15" customHeight="1" spans="1:6" x14ac:dyDescent="0.25">
      <c r="A182" s="36">
        <v>46209</v>
      </c>
      <c r="B182" t="s">
        <v>49</v>
      </c>
      <c r="C182" t="s">
        <v>683</v>
      </c>
      <c r="D182" t="s">
        <v>369</v>
      </c>
      <c r="E182" t="s">
        <v>60</v>
      </c>
      <c r="F182" t="s">
        <v>684</v>
      </c>
    </row>
    <row r="183" ht="15" customHeight="1" spans="1:6" x14ac:dyDescent="0.25">
      <c r="A183" s="36">
        <v>46209</v>
      </c>
      <c r="B183" t="s">
        <v>49</v>
      </c>
      <c r="C183" t="s">
        <v>685</v>
      </c>
      <c r="D183" t="s">
        <v>369</v>
      </c>
      <c r="E183" t="s">
        <v>60</v>
      </c>
      <c r="F183" t="s">
        <v>686</v>
      </c>
    </row>
    <row r="184" ht="15" customHeight="1" spans="1:6" x14ac:dyDescent="0.25">
      <c r="A184" s="36">
        <v>46209</v>
      </c>
      <c r="B184" t="s">
        <v>49</v>
      </c>
      <c r="C184" t="s">
        <v>687</v>
      </c>
      <c r="D184" t="s">
        <v>369</v>
      </c>
      <c r="E184" t="s">
        <v>60</v>
      </c>
      <c r="F184" t="s">
        <v>688</v>
      </c>
    </row>
    <row r="185" ht="15" customHeight="1" spans="1:6" x14ac:dyDescent="0.25">
      <c r="A185" s="36">
        <v>46209</v>
      </c>
      <c r="B185" t="s">
        <v>49</v>
      </c>
      <c r="C185" t="s">
        <v>687</v>
      </c>
      <c r="D185" t="s">
        <v>369</v>
      </c>
      <c r="E185" t="s">
        <v>60</v>
      </c>
      <c r="F185" t="s">
        <v>689</v>
      </c>
    </row>
    <row r="186" ht="15" customHeight="1" spans="1:6" x14ac:dyDescent="0.25">
      <c r="A186" s="36">
        <v>46209</v>
      </c>
      <c r="B186" t="s">
        <v>49</v>
      </c>
      <c r="C186" t="s">
        <v>209</v>
      </c>
      <c r="D186" t="s">
        <v>369</v>
      </c>
      <c r="E186" t="s">
        <v>60</v>
      </c>
      <c r="F186" t="s">
        <v>690</v>
      </c>
    </row>
    <row r="187" ht="15" customHeight="1" spans="1:6" x14ac:dyDescent="0.25">
      <c r="A187" s="36">
        <v>46209</v>
      </c>
      <c r="B187" t="s">
        <v>49</v>
      </c>
      <c r="C187" t="s">
        <v>691</v>
      </c>
      <c r="D187" t="s">
        <v>369</v>
      </c>
      <c r="E187" t="s">
        <v>60</v>
      </c>
      <c r="F187" t="s">
        <v>692</v>
      </c>
    </row>
    <row r="188" ht="15" customHeight="1" spans="1:6" x14ac:dyDescent="0.25">
      <c r="A188" s="36">
        <v>46209</v>
      </c>
      <c r="B188" t="s">
        <v>49</v>
      </c>
      <c r="C188" t="s">
        <v>693</v>
      </c>
      <c r="D188" t="s">
        <v>369</v>
      </c>
      <c r="E188" t="s">
        <v>60</v>
      </c>
      <c r="F188" t="s">
        <v>694</v>
      </c>
    </row>
    <row r="189" ht="15" customHeight="1" spans="1:6" x14ac:dyDescent="0.25">
      <c r="A189" s="36">
        <v>46209</v>
      </c>
      <c r="B189" t="s">
        <v>49</v>
      </c>
      <c r="C189" t="s">
        <v>683</v>
      </c>
      <c r="D189" t="s">
        <v>369</v>
      </c>
      <c r="E189" t="s">
        <v>60</v>
      </c>
      <c r="F189" t="s">
        <v>695</v>
      </c>
    </row>
    <row r="190" ht="15" customHeight="1" spans="1:6" x14ac:dyDescent="0.25">
      <c r="A190" s="36">
        <v>46209</v>
      </c>
      <c r="B190" t="s">
        <v>49</v>
      </c>
      <c r="C190" t="s">
        <v>696</v>
      </c>
      <c r="D190" t="s">
        <v>369</v>
      </c>
      <c r="E190" t="s">
        <v>60</v>
      </c>
      <c r="F190" t="s">
        <v>697</v>
      </c>
    </row>
    <row r="191" ht="15" customHeight="1" spans="1:6" x14ac:dyDescent="0.25">
      <c r="A191" s="36">
        <v>46209</v>
      </c>
      <c r="B191" t="s">
        <v>49</v>
      </c>
      <c r="C191" t="s">
        <v>698</v>
      </c>
      <c r="D191" t="s">
        <v>369</v>
      </c>
      <c r="E191" t="s">
        <v>60</v>
      </c>
      <c r="F191" t="s">
        <v>699</v>
      </c>
    </row>
    <row r="192" ht="15" customHeight="1" spans="1:6" x14ac:dyDescent="0.25">
      <c r="A192" s="36">
        <v>46209</v>
      </c>
      <c r="B192" t="s">
        <v>49</v>
      </c>
      <c r="C192" t="s">
        <v>698</v>
      </c>
      <c r="D192" t="s">
        <v>369</v>
      </c>
      <c r="E192" t="s">
        <v>60</v>
      </c>
      <c r="F192" t="s">
        <v>700</v>
      </c>
    </row>
    <row r="193" ht="15" customHeight="1" spans="1:6" x14ac:dyDescent="0.25">
      <c r="A193" s="36">
        <v>46209</v>
      </c>
      <c r="B193" t="s">
        <v>49</v>
      </c>
      <c r="C193" t="s">
        <v>701</v>
      </c>
      <c r="D193" t="s">
        <v>369</v>
      </c>
      <c r="E193" t="s">
        <v>60</v>
      </c>
      <c r="F193" t="s">
        <v>702</v>
      </c>
    </row>
    <row r="194" ht="15" customHeight="1" spans="1:6" x14ac:dyDescent="0.25">
      <c r="A194" s="36">
        <v>46209</v>
      </c>
      <c r="B194" t="s">
        <v>49</v>
      </c>
      <c r="C194" t="s">
        <v>703</v>
      </c>
      <c r="D194" t="s">
        <v>369</v>
      </c>
      <c r="E194" t="s">
        <v>60</v>
      </c>
      <c r="F194" t="s">
        <v>704</v>
      </c>
    </row>
    <row r="195" ht="15" customHeight="1" spans="1:6" x14ac:dyDescent="0.25">
      <c r="A195" s="36">
        <v>46209</v>
      </c>
      <c r="B195" t="s">
        <v>49</v>
      </c>
      <c r="C195" t="s">
        <v>705</v>
      </c>
      <c r="D195" t="s">
        <v>369</v>
      </c>
      <c r="E195" t="s">
        <v>60</v>
      </c>
      <c r="F195" t="s">
        <v>706</v>
      </c>
    </row>
    <row r="196" ht="15" customHeight="1" spans="1:6" x14ac:dyDescent="0.25">
      <c r="A196" s="36">
        <v>46205</v>
      </c>
      <c r="B196" t="s">
        <v>49</v>
      </c>
      <c r="C196" t="s">
        <v>638</v>
      </c>
      <c r="D196" t="s">
        <v>369</v>
      </c>
      <c r="E196" t="s">
        <v>60</v>
      </c>
      <c r="F196" t="s">
        <v>707</v>
      </c>
    </row>
    <row r="197" ht="15" customHeight="1" spans="1:6" x14ac:dyDescent="0.25">
      <c r="A197" s="36">
        <v>46205</v>
      </c>
      <c r="B197" t="s">
        <v>49</v>
      </c>
      <c r="C197" t="s">
        <v>708</v>
      </c>
      <c r="D197" t="s">
        <v>369</v>
      </c>
      <c r="E197" t="s">
        <v>60</v>
      </c>
      <c r="F197" t="s">
        <v>709</v>
      </c>
    </row>
    <row r="198" ht="15" customHeight="1" spans="1:6" x14ac:dyDescent="0.25">
      <c r="A198" s="36">
        <v>46205</v>
      </c>
      <c r="B198" t="s">
        <v>49</v>
      </c>
      <c r="C198" t="s">
        <v>710</v>
      </c>
      <c r="D198" t="s">
        <v>369</v>
      </c>
      <c r="E198" t="s">
        <v>60</v>
      </c>
      <c r="F198" t="s">
        <v>711</v>
      </c>
    </row>
    <row r="199" ht="15" customHeight="1" spans="1:6" x14ac:dyDescent="0.25">
      <c r="A199" s="36">
        <v>46205</v>
      </c>
      <c r="B199" t="s">
        <v>49</v>
      </c>
      <c r="C199" t="s">
        <v>712</v>
      </c>
      <c r="D199" t="s">
        <v>369</v>
      </c>
      <c r="E199" t="s">
        <v>60</v>
      </c>
      <c r="F199" t="s">
        <v>713</v>
      </c>
    </row>
    <row r="200" ht="15" customHeight="1" spans="1:6" x14ac:dyDescent="0.25">
      <c r="A200" s="36">
        <v>46205</v>
      </c>
      <c r="B200" t="s">
        <v>49</v>
      </c>
      <c r="C200" t="s">
        <v>714</v>
      </c>
      <c r="D200" t="s">
        <v>369</v>
      </c>
      <c r="E200" t="s">
        <v>64</v>
      </c>
      <c r="F200" t="s">
        <v>715</v>
      </c>
    </row>
    <row r="201" ht="15" customHeight="1" spans="1:6" x14ac:dyDescent="0.25">
      <c r="A201" s="36">
        <v>46205</v>
      </c>
      <c r="B201" t="s">
        <v>49</v>
      </c>
      <c r="C201" t="s">
        <v>703</v>
      </c>
      <c r="D201" t="s">
        <v>369</v>
      </c>
      <c r="E201" t="s">
        <v>60</v>
      </c>
      <c r="F201" t="s">
        <v>716</v>
      </c>
    </row>
    <row r="202" ht="15" customHeight="1" spans="1:6" x14ac:dyDescent="0.25">
      <c r="A202" s="36">
        <v>46205</v>
      </c>
      <c r="B202" t="s">
        <v>49</v>
      </c>
      <c r="C202" t="s">
        <v>717</v>
      </c>
      <c r="D202" t="s">
        <v>369</v>
      </c>
      <c r="E202" t="s">
        <v>60</v>
      </c>
      <c r="F202" t="s">
        <v>718</v>
      </c>
    </row>
    <row r="203" ht="15" customHeight="1" spans="1:6" x14ac:dyDescent="0.25">
      <c r="A203" s="36">
        <v>46205</v>
      </c>
      <c r="B203" t="s">
        <v>49</v>
      </c>
      <c r="C203" t="s">
        <v>719</v>
      </c>
      <c r="D203" t="s">
        <v>369</v>
      </c>
      <c r="E203" t="s">
        <v>60</v>
      </c>
      <c r="F203" t="s">
        <v>720</v>
      </c>
    </row>
    <row r="204" ht="15" customHeight="1" spans="1:6" x14ac:dyDescent="0.25">
      <c r="A204" s="36">
        <v>46205</v>
      </c>
      <c r="B204" t="s">
        <v>49</v>
      </c>
      <c r="C204" t="s">
        <v>182</v>
      </c>
      <c r="D204" t="s">
        <v>369</v>
      </c>
      <c r="E204" t="s">
        <v>60</v>
      </c>
      <c r="F204" t="s">
        <v>721</v>
      </c>
    </row>
    <row r="205" ht="15" customHeight="1" spans="1:6" x14ac:dyDescent="0.25">
      <c r="A205" s="36">
        <v>46205</v>
      </c>
      <c r="B205" t="s">
        <v>49</v>
      </c>
      <c r="C205" t="s">
        <v>722</v>
      </c>
      <c r="D205" t="s">
        <v>369</v>
      </c>
      <c r="E205" t="s">
        <v>61</v>
      </c>
      <c r="F205" t="s">
        <v>723</v>
      </c>
    </row>
    <row r="206" ht="15" customHeight="1" spans="1:6" x14ac:dyDescent="0.25">
      <c r="A206" s="36">
        <v>46205</v>
      </c>
      <c r="B206" t="s">
        <v>49</v>
      </c>
      <c r="C206" t="s">
        <v>638</v>
      </c>
      <c r="D206" t="s">
        <v>369</v>
      </c>
      <c r="E206" t="s">
        <v>61</v>
      </c>
      <c r="F206" t="s">
        <v>724</v>
      </c>
    </row>
    <row r="207" ht="15" customHeight="1" spans="1:6" x14ac:dyDescent="0.25">
      <c r="A207" s="36">
        <v>46205</v>
      </c>
      <c r="B207" t="s">
        <v>49</v>
      </c>
      <c r="C207" t="s">
        <v>178</v>
      </c>
      <c r="D207" t="s">
        <v>369</v>
      </c>
      <c r="E207" t="s">
        <v>60</v>
      </c>
      <c r="F207" t="s">
        <v>725</v>
      </c>
    </row>
    <row r="208" ht="15" customHeight="1" spans="1:6" x14ac:dyDescent="0.25">
      <c r="A208" s="36">
        <v>46205</v>
      </c>
      <c r="B208" t="s">
        <v>49</v>
      </c>
      <c r="C208" t="s">
        <v>726</v>
      </c>
      <c r="D208" t="s">
        <v>369</v>
      </c>
      <c r="E208" t="s">
        <v>60</v>
      </c>
      <c r="F208" t="s">
        <v>727</v>
      </c>
    </row>
    <row r="209" ht="15" customHeight="1" spans="1:6" x14ac:dyDescent="0.25">
      <c r="A209" s="36">
        <v>46205</v>
      </c>
      <c r="B209" t="s">
        <v>49</v>
      </c>
      <c r="C209" t="s">
        <v>172</v>
      </c>
      <c r="D209" t="s">
        <v>369</v>
      </c>
      <c r="E209" t="s">
        <v>60</v>
      </c>
      <c r="F209" t="s">
        <v>728</v>
      </c>
    </row>
    <row r="210" ht="15" customHeight="1" spans="1:6" x14ac:dyDescent="0.25">
      <c r="A210" s="36">
        <v>46205</v>
      </c>
      <c r="B210" t="s">
        <v>49</v>
      </c>
      <c r="C210" t="s">
        <v>729</v>
      </c>
      <c r="D210" t="s">
        <v>369</v>
      </c>
      <c r="E210" t="s">
        <v>64</v>
      </c>
      <c r="F210" t="s">
        <v>730</v>
      </c>
    </row>
    <row r="211" ht="15" customHeight="1" spans="1:6" x14ac:dyDescent="0.25">
      <c r="A211" s="36">
        <v>46205</v>
      </c>
      <c r="B211" t="s">
        <v>49</v>
      </c>
      <c r="C211" t="s">
        <v>731</v>
      </c>
      <c r="D211" t="s">
        <v>369</v>
      </c>
      <c r="E211" t="s">
        <v>64</v>
      </c>
      <c r="F211" t="s">
        <v>732</v>
      </c>
    </row>
    <row r="212" ht="15" customHeight="1" spans="1:6" x14ac:dyDescent="0.25">
      <c r="A212" s="36">
        <v>46205</v>
      </c>
      <c r="B212" t="s">
        <v>49</v>
      </c>
      <c r="C212" t="s">
        <v>733</v>
      </c>
      <c r="D212" t="s">
        <v>369</v>
      </c>
      <c r="E212" t="s">
        <v>60</v>
      </c>
      <c r="F212" t="s">
        <v>734</v>
      </c>
    </row>
    <row r="213" ht="15" customHeight="1" spans="1:6" x14ac:dyDescent="0.25">
      <c r="A213" s="36">
        <v>46204</v>
      </c>
      <c r="B213" t="s">
        <v>49</v>
      </c>
      <c r="C213" t="s">
        <v>735</v>
      </c>
      <c r="D213" t="s">
        <v>369</v>
      </c>
      <c r="E213" t="s">
        <v>60</v>
      </c>
      <c r="F213" t="s">
        <v>736</v>
      </c>
    </row>
    <row r="214" ht="15" customHeight="1" spans="1:6" x14ac:dyDescent="0.25">
      <c r="A214" s="36">
        <v>46204</v>
      </c>
      <c r="B214" t="s">
        <v>49</v>
      </c>
      <c r="C214" t="s">
        <v>737</v>
      </c>
      <c r="D214" t="s">
        <v>369</v>
      </c>
      <c r="E214" t="s">
        <v>64</v>
      </c>
      <c r="F214" t="s">
        <v>738</v>
      </c>
    </row>
    <row r="215" ht="15" customHeight="1" spans="1:6" x14ac:dyDescent="0.25">
      <c r="A215" s="36">
        <v>46204</v>
      </c>
      <c r="B215" t="s">
        <v>49</v>
      </c>
      <c r="C215" t="s">
        <v>182</v>
      </c>
      <c r="D215" t="s">
        <v>369</v>
      </c>
      <c r="E215" t="s">
        <v>60</v>
      </c>
      <c r="F215" t="s">
        <v>739</v>
      </c>
    </row>
    <row r="216" ht="15" customHeight="1" spans="1:6" x14ac:dyDescent="0.25">
      <c r="A216" s="36">
        <v>46204</v>
      </c>
      <c r="B216" t="s">
        <v>49</v>
      </c>
      <c r="C216" t="s">
        <v>740</v>
      </c>
      <c r="D216" t="s">
        <v>369</v>
      </c>
      <c r="E216" t="s">
        <v>60</v>
      </c>
      <c r="F216" t="s">
        <v>741</v>
      </c>
    </row>
    <row r="217" ht="15" customHeight="1" spans="1:6" x14ac:dyDescent="0.25">
      <c r="A217" s="36">
        <v>46204</v>
      </c>
      <c r="B217" t="s">
        <v>49</v>
      </c>
      <c r="C217" t="s">
        <v>742</v>
      </c>
      <c r="D217" t="s">
        <v>369</v>
      </c>
      <c r="E217" t="s">
        <v>60</v>
      </c>
      <c r="F217" t="s">
        <v>743</v>
      </c>
    </row>
    <row r="218" ht="15" customHeight="1" spans="1:6" x14ac:dyDescent="0.25">
      <c r="A218" s="36">
        <v>46204</v>
      </c>
      <c r="B218" t="s">
        <v>49</v>
      </c>
      <c r="C218" t="s">
        <v>742</v>
      </c>
      <c r="D218" t="s">
        <v>369</v>
      </c>
      <c r="E218" t="s">
        <v>61</v>
      </c>
      <c r="F218" t="s">
        <v>744</v>
      </c>
    </row>
    <row r="219" ht="15" customHeight="1" spans="1:6" x14ac:dyDescent="0.25">
      <c r="A219" s="36">
        <v>46204</v>
      </c>
      <c r="B219" t="s">
        <v>49</v>
      </c>
      <c r="C219" t="s">
        <v>164</v>
      </c>
      <c r="D219" t="s">
        <v>369</v>
      </c>
      <c r="E219" t="s">
        <v>60</v>
      </c>
      <c r="F219" t="s">
        <v>745</v>
      </c>
    </row>
    <row r="220" ht="15" customHeight="1" spans="1:6" x14ac:dyDescent="0.25">
      <c r="A220" s="36">
        <v>46204</v>
      </c>
      <c r="B220" t="s">
        <v>49</v>
      </c>
      <c r="C220" t="s">
        <v>746</v>
      </c>
      <c r="D220" t="s">
        <v>369</v>
      </c>
      <c r="E220" t="s">
        <v>60</v>
      </c>
      <c r="F220" t="s">
        <v>747</v>
      </c>
    </row>
    <row r="221" ht="15" customHeight="1" spans="1:6" x14ac:dyDescent="0.25">
      <c r="A221" s="36">
        <v>46204</v>
      </c>
      <c r="B221" t="s">
        <v>49</v>
      </c>
      <c r="C221" t="s">
        <v>748</v>
      </c>
      <c r="D221" t="s">
        <v>369</v>
      </c>
      <c r="E221" t="s">
        <v>60</v>
      </c>
      <c r="F221" t="s">
        <v>749</v>
      </c>
    </row>
    <row r="222" ht="15" customHeight="1" spans="1:6" x14ac:dyDescent="0.25">
      <c r="A222" s="36">
        <v>46204</v>
      </c>
      <c r="B222" t="s">
        <v>49</v>
      </c>
      <c r="C222" t="s">
        <v>750</v>
      </c>
      <c r="D222" t="s">
        <v>369</v>
      </c>
      <c r="E222" t="s">
        <v>64</v>
      </c>
      <c r="F222" t="s">
        <v>751</v>
      </c>
    </row>
    <row r="223" ht="15" customHeight="1" spans="1:6" x14ac:dyDescent="0.25">
      <c r="A223" s="36">
        <v>46204</v>
      </c>
      <c r="B223" t="s">
        <v>49</v>
      </c>
      <c r="C223" t="s">
        <v>752</v>
      </c>
      <c r="D223" t="s">
        <v>369</v>
      </c>
      <c r="E223" t="s">
        <v>64</v>
      </c>
      <c r="F223" t="s">
        <v>753</v>
      </c>
    </row>
    <row r="224" ht="15" customHeight="1" spans="1:6" x14ac:dyDescent="0.25">
      <c r="A224" s="36">
        <v>46204</v>
      </c>
      <c r="B224" t="s">
        <v>49</v>
      </c>
      <c r="C224" t="s">
        <v>754</v>
      </c>
      <c r="D224" t="s">
        <v>369</v>
      </c>
      <c r="E224" t="s">
        <v>60</v>
      </c>
      <c r="F224" t="s">
        <v>755</v>
      </c>
    </row>
    <row r="225" ht="15" customHeight="1" spans="1:6" x14ac:dyDescent="0.25">
      <c r="A225" s="36">
        <v>46204</v>
      </c>
      <c r="B225" t="s">
        <v>49</v>
      </c>
      <c r="C225" t="s">
        <v>756</v>
      </c>
      <c r="D225" t="s">
        <v>369</v>
      </c>
      <c r="E225" t="s">
        <v>60</v>
      </c>
      <c r="F225" t="s">
        <v>757</v>
      </c>
    </row>
    <row r="226" ht="15" customHeight="1" spans="1:6" x14ac:dyDescent="0.25">
      <c r="A226" s="36">
        <v>46204</v>
      </c>
      <c r="B226" t="s">
        <v>49</v>
      </c>
      <c r="C226" t="s">
        <v>758</v>
      </c>
      <c r="D226" t="s">
        <v>369</v>
      </c>
      <c r="E226" t="s">
        <v>60</v>
      </c>
      <c r="F226" t="s">
        <v>759</v>
      </c>
    </row>
    <row r="227" ht="15" customHeight="1" spans="1:6" x14ac:dyDescent="0.25">
      <c r="A227" s="36">
        <v>46204</v>
      </c>
      <c r="B227" t="s">
        <v>49</v>
      </c>
      <c r="C227" t="s">
        <v>760</v>
      </c>
      <c r="D227" t="s">
        <v>369</v>
      </c>
      <c r="E227" t="s">
        <v>63</v>
      </c>
      <c r="F227" t="s">
        <v>761</v>
      </c>
    </row>
    <row r="228" ht="15" customHeight="1" spans="1:6" x14ac:dyDescent="0.25">
      <c r="A228" s="36">
        <v>46204</v>
      </c>
      <c r="B228" t="s">
        <v>49</v>
      </c>
      <c r="C228" t="s">
        <v>762</v>
      </c>
      <c r="D228" t="s">
        <v>369</v>
      </c>
      <c r="E228" t="s">
        <v>61</v>
      </c>
      <c r="F228" t="s">
        <v>763</v>
      </c>
    </row>
    <row r="229" ht="15" customHeight="1" spans="1:6" x14ac:dyDescent="0.25">
      <c r="A229" s="36">
        <v>46204</v>
      </c>
      <c r="B229" t="s">
        <v>49</v>
      </c>
      <c r="C229" t="s">
        <v>764</v>
      </c>
      <c r="D229" t="s">
        <v>369</v>
      </c>
      <c r="E229" t="s">
        <v>60</v>
      </c>
      <c r="F229" t="s">
        <v>765</v>
      </c>
    </row>
    <row r="230" ht="15" customHeight="1" spans="1:6" x14ac:dyDescent="0.25">
      <c r="A230" s="36">
        <v>46204</v>
      </c>
      <c r="B230" t="s">
        <v>49</v>
      </c>
      <c r="C230" t="s">
        <v>766</v>
      </c>
      <c r="D230" t="s">
        <v>369</v>
      </c>
      <c r="E230" t="s">
        <v>64</v>
      </c>
      <c r="F230" t="s">
        <v>767</v>
      </c>
    </row>
    <row r="231" ht="15" customHeight="1" spans="1:6" x14ac:dyDescent="0.25">
      <c r="A231" s="36">
        <v>46204</v>
      </c>
      <c r="B231" t="s">
        <v>49</v>
      </c>
      <c r="C231" t="s">
        <v>768</v>
      </c>
      <c r="D231" t="s">
        <v>369</v>
      </c>
      <c r="E231" t="s">
        <v>60</v>
      </c>
      <c r="F231" t="s">
        <v>769</v>
      </c>
    </row>
    <row r="232" ht="15" customHeight="1" spans="1:6" x14ac:dyDescent="0.25">
      <c r="A232" s="36">
        <v>46204</v>
      </c>
      <c r="B232" t="s">
        <v>49</v>
      </c>
      <c r="C232" t="s">
        <v>144</v>
      </c>
      <c r="D232" t="s">
        <v>369</v>
      </c>
      <c r="E232" t="s">
        <v>60</v>
      </c>
      <c r="F232" t="s">
        <v>770</v>
      </c>
    </row>
    <row r="233" ht="15" customHeight="1" spans="1:6" x14ac:dyDescent="0.25">
      <c r="A233" s="36">
        <v>46204</v>
      </c>
      <c r="B233" t="s">
        <v>49</v>
      </c>
      <c r="C233" t="s">
        <v>674</v>
      </c>
      <c r="D233" t="s">
        <v>369</v>
      </c>
      <c r="E233" t="s">
        <v>60</v>
      </c>
      <c r="F233" t="s">
        <v>771</v>
      </c>
    </row>
    <row r="234" ht="15" customHeight="1" spans="1:6" x14ac:dyDescent="0.25">
      <c r="A234" s="36">
        <v>46204</v>
      </c>
      <c r="B234" t="s">
        <v>49</v>
      </c>
      <c r="C234" t="s">
        <v>772</v>
      </c>
      <c r="D234" t="s">
        <v>369</v>
      </c>
      <c r="E234" t="s">
        <v>60</v>
      </c>
      <c r="F234" t="s">
        <v>773</v>
      </c>
    </row>
    <row r="235" ht="15" customHeight="1" spans="1:6" x14ac:dyDescent="0.25">
      <c r="A235" s="36">
        <v>46204</v>
      </c>
      <c r="B235" t="s">
        <v>49</v>
      </c>
      <c r="C235" t="s">
        <v>774</v>
      </c>
      <c r="D235" t="s">
        <v>369</v>
      </c>
      <c r="E235" t="s">
        <v>60</v>
      </c>
      <c r="F235" t="s">
        <v>775</v>
      </c>
    </row>
    <row r="236" ht="15" customHeight="1" spans="1:6" x14ac:dyDescent="0.25">
      <c r="A236" s="36">
        <v>46204</v>
      </c>
      <c r="B236" t="s">
        <v>49</v>
      </c>
      <c r="C236" t="s">
        <v>776</v>
      </c>
      <c r="D236" t="s">
        <v>369</v>
      </c>
      <c r="E236" t="s">
        <v>60</v>
      </c>
      <c r="F236" t="s">
        <v>777</v>
      </c>
    </row>
    <row r="237" ht="15" customHeight="1" spans="1:6" x14ac:dyDescent="0.25">
      <c r="A237" s="36">
        <v>46204</v>
      </c>
      <c r="B237" t="s">
        <v>49</v>
      </c>
      <c r="C237" t="s">
        <v>778</v>
      </c>
      <c r="D237" s="37" t="s">
        <v>369</v>
      </c>
      <c r="E237" t="s">
        <v>60</v>
      </c>
      <c r="F237" t="s">
        <v>779</v>
      </c>
    </row>
    <row r="238" ht="15" customHeight="1" spans="1:6" x14ac:dyDescent="0.25">
      <c r="A238" s="36">
        <v>46204</v>
      </c>
      <c r="B238" t="s">
        <v>49</v>
      </c>
      <c r="C238" t="s">
        <v>135</v>
      </c>
      <c r="D238" t="s">
        <v>369</v>
      </c>
      <c r="E238" t="s">
        <v>60</v>
      </c>
      <c r="F238" t="s">
        <v>780</v>
      </c>
    </row>
    <row r="239" ht="15" customHeight="1" spans="1:1" x14ac:dyDescent="0.25">
      <c r="A239" s="36"/>
    </row>
    <row r="240" ht="15" customHeight="1" spans="1:1" x14ac:dyDescent="0.25">
      <c r="A240" s="36"/>
    </row>
    <row r="241" ht="15" customHeight="1" spans="1:1" x14ac:dyDescent="0.25">
      <c r="A241" s="36"/>
    </row>
    <row r="242" ht="15" customHeight="1" spans="1:1" x14ac:dyDescent="0.25">
      <c r="A242" s="36"/>
    </row>
    <row r="243" ht="15" customHeight="1" spans="1:1" x14ac:dyDescent="0.25">
      <c r="A243" s="36"/>
    </row>
    <row r="244" ht="15" customHeight="1" spans="1:1" x14ac:dyDescent="0.25">
      <c r="A244" s="36"/>
    </row>
    <row r="245" ht="15" customHeight="1" spans="1:1" x14ac:dyDescent="0.25">
      <c r="A245" s="36"/>
    </row>
    <row r="246" ht="15" customHeight="1" spans="1:1" x14ac:dyDescent="0.25">
      <c r="A246" s="36"/>
    </row>
    <row r="247" ht="15" customHeight="1" spans="1:1" x14ac:dyDescent="0.25">
      <c r="A247" s="36"/>
    </row>
    <row r="248" ht="15" customHeight="1" spans="1:1" x14ac:dyDescent="0.25">
      <c r="A248" s="36"/>
    </row>
    <row r="249" ht="15" customHeight="1" spans="1:1" x14ac:dyDescent="0.25">
      <c r="A249" s="36"/>
    </row>
    <row r="250" ht="15" customHeight="1" spans="1:1" x14ac:dyDescent="0.25">
      <c r="A250" s="36"/>
    </row>
    <row r="251" ht="15" customHeight="1" spans="1:1" x14ac:dyDescent="0.25">
      <c r="A251" s="36"/>
    </row>
    <row r="252" ht="15" customHeight="1" spans="1:1" x14ac:dyDescent="0.25">
      <c r="A252" s="36"/>
    </row>
    <row r="253" ht="15" customHeight="1" spans="1:1" x14ac:dyDescent="0.25">
      <c r="A253" s="36"/>
    </row>
    <row r="254" ht="15" customHeight="1" spans="1:1" x14ac:dyDescent="0.25">
      <c r="A254" s="36"/>
    </row>
    <row r="255" ht="15" customHeight="1" spans="1:1" x14ac:dyDescent="0.25">
      <c r="A255" s="36"/>
    </row>
    <row r="256" ht="15" customHeight="1" spans="1:1" x14ac:dyDescent="0.25">
      <c r="A256" s="36"/>
    </row>
    <row r="257" ht="15" customHeight="1" spans="1:1" x14ac:dyDescent="0.25">
      <c r="A257" s="36"/>
    </row>
    <row r="258" ht="15" customHeight="1" spans="1:1" x14ac:dyDescent="0.25">
      <c r="A258" s="36"/>
    </row>
    <row r="259" ht="15" customHeight="1" spans="1:1" x14ac:dyDescent="0.25">
      <c r="A259" s="36"/>
    </row>
    <row r="260" ht="15" customHeight="1" spans="1:1" x14ac:dyDescent="0.25">
      <c r="A260" s="36"/>
    </row>
    <row r="261" ht="15" customHeight="1" spans="1:1" x14ac:dyDescent="0.25">
      <c r="A261" s="36"/>
    </row>
    <row r="262" ht="15" customHeight="1" spans="1:1" x14ac:dyDescent="0.25">
      <c r="A262" s="36"/>
    </row>
    <row r="263" ht="15" customHeight="1" spans="1:1" x14ac:dyDescent="0.25">
      <c r="A263" s="36"/>
    </row>
    <row r="264" ht="15" customHeight="1" spans="1:1" x14ac:dyDescent="0.25">
      <c r="A264" s="36"/>
    </row>
    <row r="265" ht="15" customHeight="1" spans="1:1" x14ac:dyDescent="0.25">
      <c r="A265" s="36"/>
    </row>
    <row r="266" ht="15" customHeight="1" spans="1:1" x14ac:dyDescent="0.25">
      <c r="A266" s="36"/>
    </row>
    <row r="267" ht="15" customHeight="1" spans="1:1" x14ac:dyDescent="0.25">
      <c r="A267" s="36"/>
    </row>
    <row r="268" ht="15" customHeight="1" spans="1:1" x14ac:dyDescent="0.25">
      <c r="A268" s="36"/>
    </row>
    <row r="269" ht="15" customHeight="1" spans="1:1" x14ac:dyDescent="0.25">
      <c r="A269" s="36"/>
    </row>
    <row r="270" ht="15" customHeight="1" spans="1:1" x14ac:dyDescent="0.25">
      <c r="A270" s="36"/>
    </row>
    <row r="271" ht="15" customHeight="1" spans="1:1" x14ac:dyDescent="0.25">
      <c r="A271" s="36"/>
    </row>
    <row r="272" ht="15" customHeight="1" spans="1:1" x14ac:dyDescent="0.25">
      <c r="A272" s="36"/>
    </row>
    <row r="273" ht="15" customHeight="1" spans="1:1" x14ac:dyDescent="0.25">
      <c r="A273" s="36"/>
    </row>
    <row r="274" ht="15" customHeight="1" spans="1:1" x14ac:dyDescent="0.25">
      <c r="A274" s="36"/>
    </row>
    <row r="275" ht="15" customHeight="1" spans="1:1" x14ac:dyDescent="0.25">
      <c r="A275" s="36"/>
    </row>
    <row r="276" ht="15" customHeight="1" spans="1:1" x14ac:dyDescent="0.25">
      <c r="A276" s="36"/>
    </row>
    <row r="277" ht="15" customHeight="1" spans="1:1" x14ac:dyDescent="0.25">
      <c r="A277" s="36"/>
    </row>
    <row r="278" ht="15" customHeight="1" spans="1:1" x14ac:dyDescent="0.25">
      <c r="A278" s="36"/>
    </row>
    <row r="279" ht="15" customHeight="1" spans="1:1" x14ac:dyDescent="0.25">
      <c r="A279" s="36"/>
    </row>
    <row r="280" ht="15" customHeight="1" spans="1:1" x14ac:dyDescent="0.25">
      <c r="A280" s="36"/>
    </row>
    <row r="281" ht="15" customHeight="1" spans="1:1" x14ac:dyDescent="0.25">
      <c r="A281" s="36"/>
    </row>
    <row r="282" ht="15" customHeight="1" spans="1:1" x14ac:dyDescent="0.25">
      <c r="A282" s="36"/>
    </row>
    <row r="283" ht="15" customHeight="1" spans="1:1" x14ac:dyDescent="0.25">
      <c r="A283" s="36"/>
    </row>
    <row r="284" ht="15" customHeight="1" spans="1:1" x14ac:dyDescent="0.25">
      <c r="A284" s="36"/>
    </row>
    <row r="285" ht="15" customHeight="1" spans="1:1" x14ac:dyDescent="0.25">
      <c r="A285" s="36"/>
    </row>
    <row r="286" ht="15" customHeight="1" spans="1:1" x14ac:dyDescent="0.25">
      <c r="A286" s="36"/>
    </row>
    <row r="287" ht="15" customHeight="1" spans="1:1" x14ac:dyDescent="0.25">
      <c r="A287" s="36"/>
    </row>
    <row r="288" ht="15" customHeight="1" spans="1:1" x14ac:dyDescent="0.25">
      <c r="A288" s="36"/>
    </row>
    <row r="289" ht="15" customHeight="1" spans="1:1" x14ac:dyDescent="0.25">
      <c r="A289" s="36"/>
    </row>
    <row r="290" ht="15" customHeight="1" spans="1:1" x14ac:dyDescent="0.25">
      <c r="A290" s="36"/>
    </row>
    <row r="291" ht="15" customHeight="1" spans="1:1" x14ac:dyDescent="0.25">
      <c r="A291" s="36"/>
    </row>
    <row r="292" ht="15" customHeight="1" spans="1:1" x14ac:dyDescent="0.25">
      <c r="A292" s="36"/>
    </row>
    <row r="293" ht="15" customHeight="1" spans="1:1" x14ac:dyDescent="0.25">
      <c r="A293" s="36"/>
    </row>
    <row r="294" ht="15" customHeight="1" spans="1:1" x14ac:dyDescent="0.25">
      <c r="A294" s="36"/>
    </row>
    <row r="295" ht="15" customHeight="1" spans="1:1" x14ac:dyDescent="0.25">
      <c r="A295" s="36"/>
    </row>
    <row r="296" ht="15" customHeight="1" spans="1:1" x14ac:dyDescent="0.25">
      <c r="A296" s="36"/>
    </row>
    <row r="297" ht="15" customHeight="1" spans="1:1" x14ac:dyDescent="0.25">
      <c r="A297" s="36"/>
    </row>
    <row r="298" ht="15" customHeight="1" spans="1:1" x14ac:dyDescent="0.25">
      <c r="A298" s="36"/>
    </row>
    <row r="299" ht="15" customHeight="1" spans="1:1" x14ac:dyDescent="0.25">
      <c r="A299" s="36"/>
    </row>
    <row r="300" ht="15" customHeight="1" spans="1:1" x14ac:dyDescent="0.25">
      <c r="A300" s="36"/>
    </row>
    <row r="301" ht="15" customHeight="1" spans="1:1" x14ac:dyDescent="0.25">
      <c r="A301" s="36"/>
    </row>
    <row r="302" ht="15" customHeight="1" spans="1:1" x14ac:dyDescent="0.25">
      <c r="A302" s="36"/>
    </row>
    <row r="303" ht="15" customHeight="1" spans="1:1" x14ac:dyDescent="0.25">
      <c r="A303" s="36"/>
    </row>
    <row r="304" ht="15" customHeight="1" spans="1:1" x14ac:dyDescent="0.25">
      <c r="A304" s="36"/>
    </row>
    <row r="305" ht="15" customHeight="1" spans="1:1" x14ac:dyDescent="0.25">
      <c r="A305" s="36"/>
    </row>
    <row r="306" ht="15" customHeight="1" spans="1:1" x14ac:dyDescent="0.25">
      <c r="A306" s="36"/>
    </row>
    <row r="307" ht="15" customHeight="1" spans="1:1" x14ac:dyDescent="0.25">
      <c r="A307" s="36"/>
    </row>
    <row r="308" ht="15" customHeight="1" spans="1:1" x14ac:dyDescent="0.25">
      <c r="A308" s="36"/>
    </row>
    <row r="309" ht="15" customHeight="1" spans="1:1" x14ac:dyDescent="0.25">
      <c r="A309" s="36"/>
    </row>
    <row r="310" ht="15" customHeight="1" spans="1:1" x14ac:dyDescent="0.25">
      <c r="A310" s="36"/>
    </row>
    <row r="311" ht="15" customHeight="1" spans="1:1" x14ac:dyDescent="0.25">
      <c r="A311" s="36"/>
    </row>
    <row r="312" ht="15" customHeight="1" spans="1:1" x14ac:dyDescent="0.25">
      <c r="A312" s="36"/>
    </row>
    <row r="313" ht="15" customHeight="1" spans="1:1" x14ac:dyDescent="0.25">
      <c r="A313" s="36"/>
    </row>
    <row r="314" ht="15" customHeight="1" spans="1:1" x14ac:dyDescent="0.25">
      <c r="A314" s="36"/>
    </row>
    <row r="315" ht="15" customHeight="1" spans="1:1" x14ac:dyDescent="0.25">
      <c r="A315" s="36"/>
    </row>
    <row r="316" ht="15" customHeight="1" spans="1:1" x14ac:dyDescent="0.25">
      <c r="A316" s="36"/>
    </row>
    <row r="317" ht="15" customHeight="1" spans="1:1" x14ac:dyDescent="0.25">
      <c r="A317" s="36"/>
    </row>
    <row r="318" ht="15" customHeight="1" spans="1:1" x14ac:dyDescent="0.25">
      <c r="A318" s="36"/>
    </row>
    <row r="319" ht="15" customHeight="1" spans="1:1" x14ac:dyDescent="0.25">
      <c r="A319" s="36"/>
    </row>
    <row r="320" ht="15" customHeight="1" spans="1:1" x14ac:dyDescent="0.25">
      <c r="A320" s="36"/>
    </row>
    <row r="321" ht="15" customHeight="1" spans="1:1" x14ac:dyDescent="0.25">
      <c r="A321" s="36"/>
    </row>
    <row r="322" ht="15" customHeight="1" spans="1:1" x14ac:dyDescent="0.25">
      <c r="A322" s="36"/>
    </row>
    <row r="323" ht="15" customHeight="1" spans="1:1" x14ac:dyDescent="0.25">
      <c r="A323" s="36"/>
    </row>
    <row r="324" ht="15" customHeight="1" spans="1:1" x14ac:dyDescent="0.25">
      <c r="A324" s="36"/>
    </row>
    <row r="325" ht="15" customHeight="1" spans="1:1" x14ac:dyDescent="0.25">
      <c r="A325" s="36"/>
    </row>
    <row r="326" ht="15" customHeight="1" spans="1:1" x14ac:dyDescent="0.25">
      <c r="A326" s="36"/>
    </row>
    <row r="327" ht="15" customHeight="1" spans="1:1" x14ac:dyDescent="0.25">
      <c r="A327" s="36"/>
    </row>
    <row r="328" ht="15" customHeight="1" spans="1:1" x14ac:dyDescent="0.25">
      <c r="A328" s="36"/>
    </row>
    <row r="329" ht="15" customHeight="1" spans="1:1" x14ac:dyDescent="0.25">
      <c r="A329" s="36"/>
    </row>
    <row r="330" ht="15" customHeight="1" spans="1:1" x14ac:dyDescent="0.25">
      <c r="A330" s="36"/>
    </row>
    <row r="331" ht="15" customHeight="1" spans="1:1" x14ac:dyDescent="0.25">
      <c r="A331" s="36"/>
    </row>
    <row r="332" ht="15" customHeight="1" spans="1:1" x14ac:dyDescent="0.25">
      <c r="A332" s="36"/>
    </row>
    <row r="333" ht="15" customHeight="1" spans="1:1" x14ac:dyDescent="0.25">
      <c r="A333" s="36"/>
    </row>
    <row r="334" ht="15" customHeight="1" spans="1:1" x14ac:dyDescent="0.25">
      <c r="A334" s="36"/>
    </row>
    <row r="335" ht="15" customHeight="1" spans="1:1" x14ac:dyDescent="0.25">
      <c r="A335" s="36"/>
    </row>
    <row r="336" ht="15" customHeight="1" spans="1:1" x14ac:dyDescent="0.25">
      <c r="A336" s="36"/>
    </row>
    <row r="337" ht="15" customHeight="1" spans="1:1" x14ac:dyDescent="0.25">
      <c r="A337" s="36"/>
    </row>
    <row r="338" ht="15" customHeight="1" spans="1:1" x14ac:dyDescent="0.25">
      <c r="A338" s="36"/>
    </row>
    <row r="339" ht="15" customHeight="1" spans="1:1" x14ac:dyDescent="0.25">
      <c r="A339" s="36"/>
    </row>
    <row r="340" ht="15" customHeight="1" spans="1:1" x14ac:dyDescent="0.25">
      <c r="A340" s="36"/>
    </row>
    <row r="341" ht="15" customHeight="1" spans="1:1" x14ac:dyDescent="0.25">
      <c r="A341" s="36"/>
    </row>
    <row r="342" ht="15" customHeight="1" spans="1:1" x14ac:dyDescent="0.25">
      <c r="A342" s="36"/>
    </row>
    <row r="343" ht="15" customHeight="1" spans="1:1" x14ac:dyDescent="0.25">
      <c r="A343" s="36"/>
    </row>
    <row r="344" ht="15" customHeight="1" spans="1:1" x14ac:dyDescent="0.25">
      <c r="A344" s="36"/>
    </row>
    <row r="345" ht="15" customHeight="1" spans="1:1" x14ac:dyDescent="0.25">
      <c r="A345" s="36"/>
    </row>
    <row r="346" ht="15" customHeight="1" spans="1:1" x14ac:dyDescent="0.25">
      <c r="A346" s="36"/>
    </row>
    <row r="347" ht="15" customHeight="1" spans="1:1" x14ac:dyDescent="0.25">
      <c r="A347" s="36"/>
    </row>
    <row r="348" ht="15" customHeight="1" spans="1:1" x14ac:dyDescent="0.25">
      <c r="A348" s="36"/>
    </row>
    <row r="349" ht="15" customHeight="1" spans="1:1" x14ac:dyDescent="0.25">
      <c r="A349" s="36"/>
    </row>
    <row r="350" ht="15" customHeight="1" spans="1:1" x14ac:dyDescent="0.25">
      <c r="A350" s="36"/>
    </row>
    <row r="351" ht="15" customHeight="1" spans="1:1" x14ac:dyDescent="0.25">
      <c r="A351" s="36"/>
    </row>
    <row r="352" ht="15" customHeight="1" spans="1:1" x14ac:dyDescent="0.25">
      <c r="A352" s="36"/>
    </row>
    <row r="353" ht="15" customHeight="1" spans="1:1" x14ac:dyDescent="0.25">
      <c r="A353" s="36"/>
    </row>
    <row r="354" ht="15" customHeight="1" spans="1:1" x14ac:dyDescent="0.25">
      <c r="A354" s="36"/>
    </row>
    <row r="355" ht="15" customHeight="1" spans="1:1" x14ac:dyDescent="0.25">
      <c r="A355" s="36"/>
    </row>
    <row r="356" ht="15" customHeight="1" spans="1:1" x14ac:dyDescent="0.25">
      <c r="A356" s="36"/>
    </row>
    <row r="357" ht="15" customHeight="1" spans="1:1" x14ac:dyDescent="0.25">
      <c r="A357" s="36"/>
    </row>
    <row r="358" ht="15" customHeight="1" spans="1:1" x14ac:dyDescent="0.25">
      <c r="A358" s="36"/>
    </row>
    <row r="359" ht="15" customHeight="1" spans="1:1" x14ac:dyDescent="0.25">
      <c r="A359" s="36"/>
    </row>
    <row r="360" ht="15" customHeight="1" spans="1:1" x14ac:dyDescent="0.25">
      <c r="A360" s="36"/>
    </row>
    <row r="361" ht="15" customHeight="1" spans="1:1" x14ac:dyDescent="0.25">
      <c r="A361" s="36"/>
    </row>
    <row r="362" ht="15" customHeight="1" spans="1:1" x14ac:dyDescent="0.25">
      <c r="A362" s="36"/>
    </row>
    <row r="363" ht="15" customHeight="1" spans="1:1" x14ac:dyDescent="0.25">
      <c r="A363" s="36"/>
    </row>
    <row r="364" ht="15" customHeight="1" spans="1:1" x14ac:dyDescent="0.25">
      <c r="A364" s="36"/>
    </row>
    <row r="365" ht="15" customHeight="1" spans="1:1" x14ac:dyDescent="0.25">
      <c r="A365" s="36"/>
    </row>
    <row r="366" ht="15" customHeight="1" spans="1:1" x14ac:dyDescent="0.25">
      <c r="A366" s="36"/>
    </row>
    <row r="367" ht="15" customHeight="1" spans="1:1" x14ac:dyDescent="0.25">
      <c r="A367" s="36"/>
    </row>
    <row r="368" ht="15" customHeight="1" spans="1:1" x14ac:dyDescent="0.25">
      <c r="A368" s="36"/>
    </row>
    <row r="369" ht="15" customHeight="1" spans="1:1" x14ac:dyDescent="0.25">
      <c r="A369" s="36"/>
    </row>
    <row r="370" ht="15" customHeight="1" spans="1:1" x14ac:dyDescent="0.25">
      <c r="A370" s="36"/>
    </row>
    <row r="371" ht="15" customHeight="1" spans="1:1" x14ac:dyDescent="0.25">
      <c r="A371" s="36"/>
    </row>
    <row r="372" ht="15" customHeight="1" spans="1:1" x14ac:dyDescent="0.25">
      <c r="A372" s="36"/>
    </row>
    <row r="373" ht="15" customHeight="1" spans="1:1" x14ac:dyDescent="0.25">
      <c r="A373" s="36"/>
    </row>
    <row r="374" ht="15" customHeight="1" spans="1:1" x14ac:dyDescent="0.25">
      <c r="A374" s="36"/>
    </row>
    <row r="375" ht="15" customHeight="1" spans="1:1" x14ac:dyDescent="0.25">
      <c r="A375" s="36"/>
    </row>
    <row r="376" ht="15" customHeight="1" spans="1:1" x14ac:dyDescent="0.25">
      <c r="A376" s="36"/>
    </row>
    <row r="377" ht="15" customHeight="1" spans="1:1" x14ac:dyDescent="0.25">
      <c r="A377" s="36"/>
    </row>
    <row r="378" ht="15" customHeight="1" spans="1:1" x14ac:dyDescent="0.25">
      <c r="A378" s="36"/>
    </row>
    <row r="379" ht="15" customHeight="1" spans="1:1" x14ac:dyDescent="0.25">
      <c r="A379" s="36"/>
    </row>
    <row r="380" ht="15" customHeight="1" spans="1:1" x14ac:dyDescent="0.25">
      <c r="A380" s="36"/>
    </row>
    <row r="381" ht="15" customHeight="1" spans="1:1" x14ac:dyDescent="0.25">
      <c r="A381" s="36"/>
    </row>
    <row r="382" ht="15" customHeight="1" spans="1:1" x14ac:dyDescent="0.25">
      <c r="A382" s="36"/>
    </row>
    <row r="383" ht="15" customHeight="1" spans="1:1" x14ac:dyDescent="0.25">
      <c r="A383" s="36"/>
    </row>
    <row r="384" ht="15" customHeight="1" spans="1:1" x14ac:dyDescent="0.25">
      <c r="A384" s="36"/>
    </row>
    <row r="385" ht="15" customHeight="1" spans="1:1" x14ac:dyDescent="0.25">
      <c r="A385" s="36"/>
    </row>
    <row r="386" ht="15" customHeight="1" spans="1:1" x14ac:dyDescent="0.25">
      <c r="A386" s="36"/>
    </row>
    <row r="387" ht="15" customHeight="1" spans="1:1" x14ac:dyDescent="0.25">
      <c r="A387" s="36"/>
    </row>
    <row r="388" ht="15" customHeight="1" spans="1:1" x14ac:dyDescent="0.25">
      <c r="A388" s="36"/>
    </row>
    <row r="389" ht="15" customHeight="1" spans="1:1" x14ac:dyDescent="0.25">
      <c r="A389" s="36"/>
    </row>
    <row r="390" ht="15" customHeight="1" spans="1:1" x14ac:dyDescent="0.25">
      <c r="A390" s="36"/>
    </row>
    <row r="391" ht="15" customHeight="1" spans="1:1" x14ac:dyDescent="0.25">
      <c r="A391" s="36"/>
    </row>
    <row r="392" ht="15" customHeight="1" spans="1:1" x14ac:dyDescent="0.25">
      <c r="A392" s="36"/>
    </row>
    <row r="393" ht="15" customHeight="1" spans="1:1" x14ac:dyDescent="0.25">
      <c r="A393" s="36"/>
    </row>
    <row r="394" ht="15" customHeight="1" spans="1:1" x14ac:dyDescent="0.25">
      <c r="A394" s="36"/>
    </row>
    <row r="395" ht="15" customHeight="1" spans="1:1" x14ac:dyDescent="0.25">
      <c r="A395" s="36"/>
    </row>
    <row r="396" ht="15" customHeight="1" spans="1:1" x14ac:dyDescent="0.25">
      <c r="A396" s="36"/>
    </row>
    <row r="397" ht="15" customHeight="1" spans="1:1" x14ac:dyDescent="0.25">
      <c r="A397" s="36"/>
    </row>
    <row r="398" ht="15" customHeight="1" spans="1:1" x14ac:dyDescent="0.25">
      <c r="A398" s="36"/>
    </row>
    <row r="399" ht="15" customHeight="1" spans="1:1" x14ac:dyDescent="0.25">
      <c r="A399" s="36"/>
    </row>
    <row r="400" ht="15" customHeight="1" spans="1:1" x14ac:dyDescent="0.25">
      <c r="A400" s="36"/>
    </row>
    <row r="401" ht="15" customHeight="1" spans="1:1" x14ac:dyDescent="0.25">
      <c r="A401" s="36"/>
    </row>
  </sheetData>
  <dataValidations count="6">
    <dataValidation type="list" allowBlank="1" sqref="B10:B401">
      <formula1>ListaSDR</formula1>
      <formula2>0</formula2>
    </dataValidation>
    <dataValidation type="list" allowBlank="1" sqref="B2:B401">
      <formula1>ListaSDR</formula1>
      <formula2>0</formula2>
    </dataValidation>
    <dataValidation type="list" allowBlank="1" sqref="D10:D401">
      <formula1>ListaStatusAtividade</formula1>
      <formula2>0</formula2>
    </dataValidation>
    <dataValidation type="list" allowBlank="1" sqref="D2:D401">
      <formula1>ListaStatusAtividade</formula1>
      <formula2>0</formula2>
    </dataValidation>
    <dataValidation type="list" allowBlank="1" sqref="E10:E401">
      <formula1>ListaTabulacaoLigacao</formula1>
      <formula2>0</formula2>
    </dataValidation>
    <dataValidation type="list" allowBlank="1" sqref="E2:E401">
      <formula1>ListaTabulacaoLigacao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 scale="100" fitToWidth="1" fitToHeight="1" firstPageNumber="1" useFirstPageNumber="1" copies="1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9A227"/>
  </sheetPr>
  <dimension ref="A1:H211"/>
  <sheetViews>
    <sheetView workbookViewId="0" showGridLines="0" zoomScale="100" zoomScaleNormal="100">
      <pane ySplit="11" topLeftCell="A12" activePane="bottomLeft" state="frozen"/>
      <selection pane="bottomLeft" activeCell="D15" sqref="D15"/>
    </sheetView>
  </sheetViews>
  <sheetFormatPr defaultRowHeight="15" outlineLevelRow="0" outlineLevelCol="0" x14ac:dyDescent="0" defaultColWidth="8.7109375"/>
  <cols>
    <col min="1" max="1" width="22" customWidth="1"/>
    <col min="2" max="7" width="16" customWidth="1"/>
    <col min="8" max="8" width="30" customWidth="1"/>
  </cols>
  <sheetData>
    <row r="1" ht="33.75" customHeight="1" spans="1:7" x14ac:dyDescent="0.25">
      <c r="A1" s="1" t="s">
        <v>15</v>
      </c>
      <c r="B1" s="1"/>
      <c r="C1" s="1"/>
      <c r="D1" s="1"/>
      <c r="E1" s="1"/>
      <c r="F1" s="1"/>
      <c r="G1" s="1"/>
    </row>
    <row r="2" ht="19.5" customHeight="1" spans="1:7" x14ac:dyDescent="0.25">
      <c r="A2" s="2" t="s">
        <v>781</v>
      </c>
      <c r="B2" s="2"/>
      <c r="C2" s="2"/>
      <c r="D2" s="2"/>
      <c r="E2" s="2"/>
      <c r="F2" s="2"/>
      <c r="G2" s="2"/>
    </row>
    <row r="4" ht="30" customHeight="1" spans="1:8" x14ac:dyDescent="0.25">
      <c r="A4" s="9" t="s">
        <v>782</v>
      </c>
      <c r="B4" s="9"/>
      <c r="C4" s="9" t="s">
        <v>783</v>
      </c>
      <c r="D4" s="9"/>
      <c r="E4" s="9" t="s">
        <v>784</v>
      </c>
      <c r="F4" s="9"/>
      <c r="G4" s="9" t="s">
        <v>785</v>
      </c>
      <c r="H4" s="9"/>
    </row>
    <row r="5" ht="33.75" customHeight="1" spans="1:8" x14ac:dyDescent="0.25">
      <c r="A5" s="10">
        <f>COUNTA(TPropostas[Empresa])</f>
        <v>12</v>
      </c>
      <c r="B5" s="10"/>
      <c r="C5" s="10">
        <f>COUNTIF(TPropostas[Status],"Em Negociação")</f>
        <v>2</v>
      </c>
      <c r="D5" s="10"/>
      <c r="E5" s="10">
        <f>COUNTIF(TPropostas[Status],"Aprovada")</f>
        <v>2</v>
      </c>
      <c r="F5" s="10"/>
      <c r="G5" s="10">
        <f>COUNTIF(TPropostas[Status],"Recusada")</f>
        <v>2</v>
      </c>
      <c r="H5" s="10"/>
    </row>
    <row r="7" ht="15" customHeight="1" spans="1:2" x14ac:dyDescent="0.25">
      <c r="A7" s="9" t="s">
        <v>786</v>
      </c>
      <c r="B7" s="9"/>
    </row>
    <row r="8" ht="21.75" customHeight="1" spans="1:2" x14ac:dyDescent="0.25">
      <c r="A8" s="38">
        <f>IFERROR(COUNTIF(TPropostas[Status],"Aprovada")/COUNTA(TPropostas[Empresa]),0)</f>
        <v>0.16666666666666666</v>
      </c>
      <c r="B8" s="38"/>
    </row>
    <row r="11" ht="21.75" customHeight="1" spans="1:8" x14ac:dyDescent="0.25">
      <c r="A11" s="13" t="s">
        <v>787</v>
      </c>
      <c r="B11" s="13" t="s">
        <v>125</v>
      </c>
      <c r="C11" s="13" t="s">
        <v>36</v>
      </c>
      <c r="D11" s="13" t="s">
        <v>133</v>
      </c>
      <c r="E11" s="13" t="s">
        <v>788</v>
      </c>
      <c r="F11" s="13" t="s">
        <v>89</v>
      </c>
      <c r="G11" s="13" t="s">
        <v>789</v>
      </c>
      <c r="H11" s="13" t="s">
        <v>367</v>
      </c>
    </row>
    <row r="12" ht="15" customHeight="1" spans="1:7" x14ac:dyDescent="0.25">
      <c r="A12" s="36">
        <v>46210</v>
      </c>
      <c r="B12" t="s">
        <v>790</v>
      </c>
      <c r="C12" t="s">
        <v>51</v>
      </c>
      <c r="D12" t="s">
        <v>791</v>
      </c>
      <c r="E12" s="39">
        <v>10000</v>
      </c>
      <c r="F12" t="s">
        <v>792</v>
      </c>
      <c r="G12" s="36"/>
    </row>
    <row r="13" ht="15" customHeight="1" spans="1:7" x14ac:dyDescent="0.25">
      <c r="A13" s="36">
        <v>46210</v>
      </c>
      <c r="B13" t="s">
        <v>793</v>
      </c>
      <c r="C13" t="s">
        <v>51</v>
      </c>
      <c r="D13" t="s">
        <v>794</v>
      </c>
      <c r="E13" s="39">
        <v>1500</v>
      </c>
      <c r="F13" t="s">
        <v>795</v>
      </c>
      <c r="G13" s="36">
        <v>46210</v>
      </c>
    </row>
    <row r="14" ht="15" customHeight="1" spans="1:7" x14ac:dyDescent="0.25">
      <c r="A14" s="36">
        <v>46204</v>
      </c>
      <c r="B14" t="s">
        <v>202</v>
      </c>
      <c r="C14" t="s">
        <v>51</v>
      </c>
      <c r="D14" t="s">
        <v>796</v>
      </c>
      <c r="E14" s="39">
        <v>3500</v>
      </c>
      <c r="F14" t="s">
        <v>797</v>
      </c>
      <c r="G14" s="36"/>
    </row>
    <row r="15" ht="15" customHeight="1" spans="1:7" x14ac:dyDescent="0.25">
      <c r="A15" s="36">
        <v>46204</v>
      </c>
      <c r="B15" t="s">
        <v>798</v>
      </c>
      <c r="C15" t="s">
        <v>51</v>
      </c>
      <c r="D15" t="s">
        <v>799</v>
      </c>
      <c r="E15" s="39">
        <v>590</v>
      </c>
      <c r="F15" t="s">
        <v>795</v>
      </c>
      <c r="G15" s="36">
        <v>46210</v>
      </c>
    </row>
    <row r="16" ht="15" customHeight="1" spans="1:7" x14ac:dyDescent="0.25">
      <c r="A16" s="36">
        <v>46210</v>
      </c>
      <c r="B16" t="s">
        <v>261</v>
      </c>
      <c r="C16" t="s">
        <v>51</v>
      </c>
      <c r="D16" t="s">
        <v>800</v>
      </c>
      <c r="E16" s="39">
        <v>14000</v>
      </c>
      <c r="F16" t="s">
        <v>792</v>
      </c>
      <c r="G16" s="36"/>
    </row>
    <row r="17" ht="15" customHeight="1" spans="1:8" x14ac:dyDescent="0.25">
      <c r="A17" s="36">
        <v>46205</v>
      </c>
      <c r="B17" t="s">
        <v>801</v>
      </c>
      <c r="C17" t="s">
        <v>51</v>
      </c>
      <c r="D17" t="s">
        <v>802</v>
      </c>
      <c r="E17" s="39">
        <v>4200</v>
      </c>
      <c r="F17" t="s">
        <v>803</v>
      </c>
      <c r="G17" s="36">
        <v>46210</v>
      </c>
      <c r="H17" t="s">
        <v>804</v>
      </c>
    </row>
    <row r="18" ht="15" customHeight="1" spans="1:8" x14ac:dyDescent="0.25">
      <c r="A18" s="36">
        <v>46205</v>
      </c>
      <c r="B18" t="s">
        <v>801</v>
      </c>
      <c r="C18" t="s">
        <v>51</v>
      </c>
      <c r="D18" t="s">
        <v>802</v>
      </c>
      <c r="E18" s="39">
        <v>4200</v>
      </c>
      <c r="F18" t="s">
        <v>803</v>
      </c>
      <c r="G18" s="36">
        <v>46210</v>
      </c>
      <c r="H18" t="s">
        <v>805</v>
      </c>
    </row>
    <row r="19" ht="15" customHeight="1" spans="1:7" x14ac:dyDescent="0.25">
      <c r="A19" s="36">
        <v>46205</v>
      </c>
      <c r="B19" t="s">
        <v>806</v>
      </c>
      <c r="C19" t="s">
        <v>50</v>
      </c>
      <c r="D19" t="s">
        <v>807</v>
      </c>
      <c r="E19" s="39"/>
      <c r="F19" t="s">
        <v>797</v>
      </c>
      <c r="G19" s="36"/>
    </row>
    <row r="20" ht="15" customHeight="1" spans="1:7" x14ac:dyDescent="0.25">
      <c r="A20" s="36">
        <v>46204</v>
      </c>
      <c r="B20" t="s">
        <v>202</v>
      </c>
      <c r="C20" t="s">
        <v>51</v>
      </c>
      <c r="D20" t="s">
        <v>796</v>
      </c>
      <c r="E20" s="39">
        <v>5500</v>
      </c>
      <c r="F20" t="s">
        <v>797</v>
      </c>
      <c r="G20" s="36"/>
    </row>
    <row r="21" ht="15" customHeight="1" spans="1:7" x14ac:dyDescent="0.25">
      <c r="A21" s="36">
        <v>46209</v>
      </c>
      <c r="B21" t="s">
        <v>172</v>
      </c>
      <c r="C21" t="s">
        <v>49</v>
      </c>
      <c r="D21" t="s">
        <v>808</v>
      </c>
      <c r="E21" s="39">
        <v>850</v>
      </c>
      <c r="F21" t="s">
        <v>797</v>
      </c>
      <c r="G21" s="36"/>
    </row>
    <row r="22" ht="15" customHeight="1" spans="1:7" x14ac:dyDescent="0.25">
      <c r="A22" s="36">
        <v>46209</v>
      </c>
      <c r="B22" t="s">
        <v>778</v>
      </c>
      <c r="C22" t="s">
        <v>49</v>
      </c>
      <c r="D22" t="s">
        <v>808</v>
      </c>
      <c r="E22" s="39">
        <v>2700</v>
      </c>
      <c r="F22" t="s">
        <v>797</v>
      </c>
      <c r="G22" s="36"/>
    </row>
    <row r="23" ht="15" customHeight="1" spans="1:7" x14ac:dyDescent="0.25">
      <c r="A23" s="36"/>
      <c r="E23" s="39"/>
      <c r="G23" s="36"/>
    </row>
    <row r="24" ht="15" customHeight="1" spans="1:7" x14ac:dyDescent="0.25">
      <c r="A24" s="36"/>
      <c r="E24" s="39"/>
      <c r="G24" s="36"/>
    </row>
    <row r="25" ht="15" customHeight="1" spans="1:7" x14ac:dyDescent="0.25">
      <c r="A25" s="36"/>
      <c r="E25" s="39"/>
      <c r="G25" s="36"/>
    </row>
    <row r="26" ht="15" customHeight="1" spans="1:7" x14ac:dyDescent="0.25">
      <c r="A26" s="36"/>
      <c r="E26" s="39"/>
      <c r="G26" s="36"/>
    </row>
    <row r="27" ht="15" customHeight="1" spans="1:7" x14ac:dyDescent="0.25">
      <c r="A27" s="36"/>
      <c r="E27" s="39"/>
      <c r="G27" s="36"/>
    </row>
    <row r="28" ht="15" customHeight="1" spans="1:7" x14ac:dyDescent="0.25">
      <c r="A28" s="36"/>
      <c r="E28" s="39"/>
      <c r="G28" s="36"/>
    </row>
    <row r="29" ht="15" customHeight="1" spans="1:7" x14ac:dyDescent="0.25">
      <c r="A29" s="36"/>
      <c r="E29" s="39"/>
      <c r="G29" s="36"/>
    </row>
    <row r="30" ht="15" customHeight="1" spans="1:7" x14ac:dyDescent="0.25">
      <c r="A30" s="36"/>
      <c r="E30" s="39"/>
      <c r="G30" s="36"/>
    </row>
    <row r="31" ht="15" customHeight="1" spans="1:7" x14ac:dyDescent="0.25">
      <c r="A31" s="36"/>
      <c r="E31" s="39"/>
      <c r="G31" s="36"/>
    </row>
    <row r="32" ht="15" customHeight="1" spans="1:7" x14ac:dyDescent="0.25">
      <c r="A32" s="36"/>
      <c r="E32" s="39"/>
      <c r="G32" s="36"/>
    </row>
    <row r="33" ht="15" customHeight="1" spans="1:7" x14ac:dyDescent="0.25">
      <c r="A33" s="36"/>
      <c r="E33" s="39"/>
      <c r="G33" s="36"/>
    </row>
    <row r="34" ht="15" customHeight="1" spans="1:7" x14ac:dyDescent="0.25">
      <c r="A34" s="36"/>
      <c r="E34" s="39"/>
      <c r="G34" s="36"/>
    </row>
    <row r="35" ht="15" customHeight="1" spans="1:7" x14ac:dyDescent="0.25">
      <c r="A35" s="36"/>
      <c r="E35" s="39"/>
      <c r="G35" s="36"/>
    </row>
    <row r="36" ht="15" customHeight="1" spans="1:7" x14ac:dyDescent="0.25">
      <c r="A36" s="36"/>
      <c r="E36" s="39"/>
      <c r="G36" s="36"/>
    </row>
    <row r="37" ht="15" customHeight="1" spans="1:7" x14ac:dyDescent="0.25">
      <c r="A37" s="36"/>
      <c r="E37" s="39"/>
      <c r="G37" s="36"/>
    </row>
    <row r="38" ht="15" customHeight="1" spans="1:7" x14ac:dyDescent="0.25">
      <c r="A38" s="36"/>
      <c r="E38" s="39"/>
      <c r="G38" s="36"/>
    </row>
    <row r="39" ht="15" customHeight="1" spans="1:7" x14ac:dyDescent="0.25">
      <c r="A39" s="36"/>
      <c r="E39" s="39"/>
      <c r="G39" s="36"/>
    </row>
    <row r="40" ht="15" customHeight="1" spans="1:7" x14ac:dyDescent="0.25">
      <c r="A40" s="36"/>
      <c r="E40" s="39"/>
      <c r="G40" s="36"/>
    </row>
    <row r="41" ht="15" customHeight="1" spans="1:7" x14ac:dyDescent="0.25">
      <c r="A41" s="36"/>
      <c r="E41" s="39"/>
      <c r="G41" s="36"/>
    </row>
    <row r="42" ht="15" customHeight="1" spans="1:7" x14ac:dyDescent="0.25">
      <c r="A42" s="36"/>
      <c r="E42" s="39"/>
      <c r="G42" s="36"/>
    </row>
    <row r="43" ht="15" customHeight="1" spans="1:7" x14ac:dyDescent="0.25">
      <c r="A43" s="36"/>
      <c r="E43" s="39"/>
      <c r="G43" s="36"/>
    </row>
    <row r="44" ht="15" customHeight="1" spans="1:7" x14ac:dyDescent="0.25">
      <c r="A44" s="36"/>
      <c r="E44" s="39"/>
      <c r="G44" s="36"/>
    </row>
    <row r="45" ht="15" customHeight="1" spans="1:7" x14ac:dyDescent="0.25">
      <c r="A45" s="36"/>
      <c r="E45" s="39"/>
      <c r="G45" s="36"/>
    </row>
    <row r="46" ht="15" customHeight="1" spans="1:7" x14ac:dyDescent="0.25">
      <c r="A46" s="36"/>
      <c r="E46" s="39"/>
      <c r="G46" s="36"/>
    </row>
    <row r="47" ht="15" customHeight="1" spans="1:7" x14ac:dyDescent="0.25">
      <c r="A47" s="36"/>
      <c r="E47" s="39"/>
      <c r="G47" s="36"/>
    </row>
    <row r="48" ht="15" customHeight="1" spans="1:7" x14ac:dyDescent="0.25">
      <c r="A48" s="36"/>
      <c r="E48" s="39"/>
      <c r="G48" s="36"/>
    </row>
    <row r="49" ht="15" customHeight="1" spans="1:7" x14ac:dyDescent="0.25">
      <c r="A49" s="36"/>
      <c r="E49" s="39"/>
      <c r="G49" s="36"/>
    </row>
    <row r="50" ht="15" customHeight="1" spans="1:7" x14ac:dyDescent="0.25">
      <c r="A50" s="36"/>
      <c r="E50" s="39"/>
      <c r="G50" s="36"/>
    </row>
    <row r="51" ht="15" customHeight="1" spans="1:7" x14ac:dyDescent="0.25">
      <c r="A51" s="36"/>
      <c r="E51" s="39"/>
      <c r="G51" s="36"/>
    </row>
    <row r="52" ht="15" customHeight="1" spans="1:7" x14ac:dyDescent="0.25">
      <c r="A52" s="36"/>
      <c r="E52" s="39"/>
      <c r="G52" s="36"/>
    </row>
    <row r="53" ht="15" customHeight="1" spans="1:7" x14ac:dyDescent="0.25">
      <c r="A53" s="36"/>
      <c r="E53" s="39"/>
      <c r="G53" s="36"/>
    </row>
    <row r="54" ht="15" customHeight="1" spans="1:7" x14ac:dyDescent="0.25">
      <c r="A54" s="36"/>
      <c r="E54" s="39"/>
      <c r="G54" s="36"/>
    </row>
    <row r="55" ht="15" customHeight="1" spans="1:7" x14ac:dyDescent="0.25">
      <c r="A55" s="36"/>
      <c r="E55" s="39"/>
      <c r="G55" s="36"/>
    </row>
    <row r="56" ht="15" customHeight="1" spans="1:7" x14ac:dyDescent="0.25">
      <c r="A56" s="36"/>
      <c r="E56" s="39"/>
      <c r="G56" s="36"/>
    </row>
    <row r="57" ht="15" customHeight="1" spans="1:7" x14ac:dyDescent="0.25">
      <c r="A57" s="36"/>
      <c r="E57" s="39"/>
      <c r="G57" s="36"/>
    </row>
    <row r="58" ht="15" customHeight="1" spans="1:7" x14ac:dyDescent="0.25">
      <c r="A58" s="36"/>
      <c r="E58" s="39"/>
      <c r="G58" s="36"/>
    </row>
    <row r="59" ht="15" customHeight="1" spans="1:7" x14ac:dyDescent="0.25">
      <c r="A59" s="36"/>
      <c r="E59" s="39"/>
      <c r="G59" s="36"/>
    </row>
    <row r="60" ht="15" customHeight="1" spans="1:7" x14ac:dyDescent="0.25">
      <c r="A60" s="36"/>
      <c r="E60" s="39"/>
      <c r="G60" s="36"/>
    </row>
    <row r="61" ht="15" customHeight="1" spans="1:7" x14ac:dyDescent="0.25">
      <c r="A61" s="36"/>
      <c r="E61" s="39"/>
      <c r="G61" s="36"/>
    </row>
    <row r="62" ht="15" customHeight="1" spans="1:7" x14ac:dyDescent="0.25">
      <c r="A62" s="36"/>
      <c r="E62" s="39"/>
      <c r="G62" s="36"/>
    </row>
    <row r="63" ht="15" customHeight="1" spans="1:7" x14ac:dyDescent="0.25">
      <c r="A63" s="36"/>
      <c r="E63" s="39"/>
      <c r="G63" s="36"/>
    </row>
    <row r="64" ht="15" customHeight="1" spans="1:7" x14ac:dyDescent="0.25">
      <c r="A64" s="36"/>
      <c r="E64" s="39"/>
      <c r="G64" s="36"/>
    </row>
    <row r="65" ht="15" customHeight="1" spans="1:7" x14ac:dyDescent="0.25">
      <c r="A65" s="36"/>
      <c r="E65" s="39"/>
      <c r="G65" s="36"/>
    </row>
    <row r="66" ht="15" customHeight="1" spans="1:7" x14ac:dyDescent="0.25">
      <c r="A66" s="36"/>
      <c r="E66" s="39"/>
      <c r="G66" s="36"/>
    </row>
    <row r="67" ht="15" customHeight="1" spans="1:7" x14ac:dyDescent="0.25">
      <c r="A67" s="36"/>
      <c r="E67" s="39"/>
      <c r="G67" s="36"/>
    </row>
    <row r="68" ht="15" customHeight="1" spans="1:7" x14ac:dyDescent="0.25">
      <c r="A68" s="36"/>
      <c r="E68" s="39"/>
      <c r="G68" s="36"/>
    </row>
    <row r="69" ht="15" customHeight="1" spans="1:7" x14ac:dyDescent="0.25">
      <c r="A69" s="36"/>
      <c r="E69" s="39"/>
      <c r="G69" s="36"/>
    </row>
    <row r="70" ht="15" customHeight="1" spans="1:7" x14ac:dyDescent="0.25">
      <c r="A70" s="36"/>
      <c r="E70" s="39"/>
      <c r="G70" s="36"/>
    </row>
    <row r="71" ht="15" customHeight="1" spans="1:7" x14ac:dyDescent="0.25">
      <c r="A71" s="36"/>
      <c r="E71" s="39"/>
      <c r="G71" s="36"/>
    </row>
    <row r="72" ht="15" customHeight="1" spans="1:7" x14ac:dyDescent="0.25">
      <c r="A72" s="36"/>
      <c r="E72" s="39"/>
      <c r="G72" s="36"/>
    </row>
    <row r="73" ht="15" customHeight="1" spans="1:7" x14ac:dyDescent="0.25">
      <c r="A73" s="36"/>
      <c r="E73" s="39"/>
      <c r="G73" s="36"/>
    </row>
    <row r="74" ht="15" customHeight="1" spans="1:7" x14ac:dyDescent="0.25">
      <c r="A74" s="36"/>
      <c r="E74" s="39"/>
      <c r="G74" s="36"/>
    </row>
    <row r="75" ht="15" customHeight="1" spans="1:7" x14ac:dyDescent="0.25">
      <c r="A75" s="36"/>
      <c r="E75" s="39"/>
      <c r="G75" s="36"/>
    </row>
    <row r="76" ht="15" customHeight="1" spans="1:7" x14ac:dyDescent="0.25">
      <c r="A76" s="36"/>
      <c r="E76" s="39"/>
      <c r="G76" s="36"/>
    </row>
    <row r="77" ht="15" customHeight="1" spans="1:7" x14ac:dyDescent="0.25">
      <c r="A77" s="36"/>
      <c r="E77" s="39"/>
      <c r="G77" s="36"/>
    </row>
    <row r="78" ht="15" customHeight="1" spans="1:7" x14ac:dyDescent="0.25">
      <c r="A78" s="36"/>
      <c r="E78" s="39"/>
      <c r="G78" s="36"/>
    </row>
    <row r="79" ht="15" customHeight="1" spans="1:7" x14ac:dyDescent="0.25">
      <c r="A79" s="36"/>
      <c r="E79" s="39"/>
      <c r="G79" s="36"/>
    </row>
    <row r="80" ht="15" customHeight="1" spans="1:7" x14ac:dyDescent="0.25">
      <c r="A80" s="36"/>
      <c r="E80" s="39"/>
      <c r="G80" s="36"/>
    </row>
    <row r="81" ht="15" customHeight="1" spans="1:7" x14ac:dyDescent="0.25">
      <c r="A81" s="36"/>
      <c r="E81" s="39"/>
      <c r="G81" s="36"/>
    </row>
    <row r="82" ht="15" customHeight="1" spans="1:7" x14ac:dyDescent="0.25">
      <c r="A82" s="36"/>
      <c r="E82" s="39"/>
      <c r="G82" s="36"/>
    </row>
    <row r="83" ht="15" customHeight="1" spans="1:7" x14ac:dyDescent="0.25">
      <c r="A83" s="36"/>
      <c r="E83" s="39"/>
      <c r="G83" s="36"/>
    </row>
    <row r="84" ht="15" customHeight="1" spans="1:7" x14ac:dyDescent="0.25">
      <c r="A84" s="36"/>
      <c r="E84" s="39"/>
      <c r="G84" s="36"/>
    </row>
    <row r="85" ht="15" customHeight="1" spans="1:7" x14ac:dyDescent="0.25">
      <c r="A85" s="36"/>
      <c r="E85" s="39"/>
      <c r="G85" s="36"/>
    </row>
    <row r="86" ht="15" customHeight="1" spans="1:7" x14ac:dyDescent="0.25">
      <c r="A86" s="36"/>
      <c r="E86" s="39"/>
      <c r="G86" s="36"/>
    </row>
    <row r="87" ht="15" customHeight="1" spans="1:7" x14ac:dyDescent="0.25">
      <c r="A87" s="36"/>
      <c r="E87" s="39"/>
      <c r="G87" s="36"/>
    </row>
    <row r="88" ht="15" customHeight="1" spans="1:7" x14ac:dyDescent="0.25">
      <c r="A88" s="36"/>
      <c r="E88" s="39"/>
      <c r="G88" s="36"/>
    </row>
    <row r="89" ht="15" customHeight="1" spans="1:7" x14ac:dyDescent="0.25">
      <c r="A89" s="36"/>
      <c r="E89" s="39"/>
      <c r="G89" s="36"/>
    </row>
    <row r="90" ht="15" customHeight="1" spans="1:7" x14ac:dyDescent="0.25">
      <c r="A90" s="36"/>
      <c r="E90" s="39"/>
      <c r="G90" s="36"/>
    </row>
    <row r="91" ht="15" customHeight="1" spans="1:7" x14ac:dyDescent="0.25">
      <c r="A91" s="36"/>
      <c r="E91" s="39"/>
      <c r="G91" s="36"/>
    </row>
    <row r="92" ht="15" customHeight="1" spans="1:7" x14ac:dyDescent="0.25">
      <c r="A92" s="36"/>
      <c r="E92" s="39"/>
      <c r="G92" s="36"/>
    </row>
    <row r="93" ht="15" customHeight="1" spans="1:7" x14ac:dyDescent="0.25">
      <c r="A93" s="36"/>
      <c r="E93" s="39"/>
      <c r="G93" s="36"/>
    </row>
    <row r="94" ht="15" customHeight="1" spans="1:7" x14ac:dyDescent="0.25">
      <c r="A94" s="36"/>
      <c r="E94" s="39"/>
      <c r="G94" s="36"/>
    </row>
    <row r="95" ht="15" customHeight="1" spans="1:7" x14ac:dyDescent="0.25">
      <c r="A95" s="36"/>
      <c r="E95" s="39"/>
      <c r="G95" s="36"/>
    </row>
    <row r="96" ht="15" customHeight="1" spans="1:7" x14ac:dyDescent="0.25">
      <c r="A96" s="36"/>
      <c r="E96" s="39"/>
      <c r="G96" s="36"/>
    </row>
    <row r="97" ht="15" customHeight="1" spans="1:7" x14ac:dyDescent="0.25">
      <c r="A97" s="36"/>
      <c r="E97" s="39"/>
      <c r="G97" s="36"/>
    </row>
    <row r="98" ht="15" customHeight="1" spans="1:7" x14ac:dyDescent="0.25">
      <c r="A98" s="36"/>
      <c r="E98" s="39"/>
      <c r="G98" s="36"/>
    </row>
    <row r="99" ht="15" customHeight="1" spans="1:7" x14ac:dyDescent="0.25">
      <c r="A99" s="36"/>
      <c r="E99" s="39"/>
      <c r="G99" s="36"/>
    </row>
    <row r="100" ht="15" customHeight="1" spans="1:7" x14ac:dyDescent="0.25">
      <c r="A100" s="36"/>
      <c r="E100" s="39"/>
      <c r="G100" s="36"/>
    </row>
    <row r="101" ht="15" customHeight="1" spans="1:7" x14ac:dyDescent="0.25">
      <c r="A101" s="36"/>
      <c r="E101" s="39"/>
      <c r="G101" s="36"/>
    </row>
    <row r="102" ht="15" customHeight="1" spans="1:7" x14ac:dyDescent="0.25">
      <c r="A102" s="36"/>
      <c r="E102" s="39"/>
      <c r="G102" s="36"/>
    </row>
    <row r="103" ht="15" customHeight="1" spans="1:7" x14ac:dyDescent="0.25">
      <c r="A103" s="36"/>
      <c r="E103" s="39"/>
      <c r="G103" s="36"/>
    </row>
    <row r="104" ht="15" customHeight="1" spans="1:7" x14ac:dyDescent="0.25">
      <c r="A104" s="36"/>
      <c r="E104" s="39"/>
      <c r="G104" s="36"/>
    </row>
    <row r="105" ht="15" customHeight="1" spans="1:7" x14ac:dyDescent="0.25">
      <c r="A105" s="36"/>
      <c r="E105" s="39"/>
      <c r="G105" s="36"/>
    </row>
    <row r="106" ht="15" customHeight="1" spans="1:7" x14ac:dyDescent="0.25">
      <c r="A106" s="36"/>
      <c r="E106" s="39"/>
      <c r="G106" s="36"/>
    </row>
    <row r="107" ht="15" customHeight="1" spans="1:7" x14ac:dyDescent="0.25">
      <c r="A107" s="36"/>
      <c r="E107" s="39"/>
      <c r="G107" s="36"/>
    </row>
    <row r="108" ht="15" customHeight="1" spans="1:7" x14ac:dyDescent="0.25">
      <c r="A108" s="36"/>
      <c r="E108" s="39"/>
      <c r="G108" s="36"/>
    </row>
    <row r="109" ht="15" customHeight="1" spans="1:7" x14ac:dyDescent="0.25">
      <c r="A109" s="36"/>
      <c r="E109" s="39"/>
      <c r="G109" s="36"/>
    </row>
    <row r="110" ht="15" customHeight="1" spans="1:7" x14ac:dyDescent="0.25">
      <c r="A110" s="36"/>
      <c r="E110" s="39"/>
      <c r="G110" s="36"/>
    </row>
    <row r="111" ht="15" customHeight="1" spans="1:7" x14ac:dyDescent="0.25">
      <c r="A111" s="36"/>
      <c r="E111" s="39"/>
      <c r="G111" s="36"/>
    </row>
    <row r="112" ht="15" customHeight="1" spans="1:7" x14ac:dyDescent="0.25">
      <c r="A112" s="36"/>
      <c r="E112" s="39"/>
      <c r="G112" s="36"/>
    </row>
    <row r="113" ht="15" customHeight="1" spans="1:7" x14ac:dyDescent="0.25">
      <c r="A113" s="36"/>
      <c r="E113" s="39"/>
      <c r="G113" s="36"/>
    </row>
    <row r="114" ht="15" customHeight="1" spans="1:7" x14ac:dyDescent="0.25">
      <c r="A114" s="36"/>
      <c r="E114" s="39"/>
      <c r="G114" s="36"/>
    </row>
    <row r="115" ht="15" customHeight="1" spans="1:7" x14ac:dyDescent="0.25">
      <c r="A115" s="36"/>
      <c r="E115" s="39"/>
      <c r="G115" s="36"/>
    </row>
    <row r="116" ht="15" customHeight="1" spans="1:7" x14ac:dyDescent="0.25">
      <c r="A116" s="36"/>
      <c r="E116" s="39"/>
      <c r="G116" s="36"/>
    </row>
    <row r="117" ht="15" customHeight="1" spans="1:7" x14ac:dyDescent="0.25">
      <c r="A117" s="36"/>
      <c r="E117" s="39"/>
      <c r="G117" s="36"/>
    </row>
    <row r="118" ht="15" customHeight="1" spans="1:7" x14ac:dyDescent="0.25">
      <c r="A118" s="36"/>
      <c r="E118" s="39"/>
      <c r="G118" s="36"/>
    </row>
    <row r="119" ht="15" customHeight="1" spans="1:7" x14ac:dyDescent="0.25">
      <c r="A119" s="36"/>
      <c r="E119" s="39"/>
      <c r="G119" s="36"/>
    </row>
    <row r="120" ht="15" customHeight="1" spans="1:7" x14ac:dyDescent="0.25">
      <c r="A120" s="36"/>
      <c r="E120" s="39"/>
      <c r="G120" s="36"/>
    </row>
    <row r="121" ht="15" customHeight="1" spans="1:7" x14ac:dyDescent="0.25">
      <c r="A121" s="36"/>
      <c r="E121" s="39"/>
      <c r="G121" s="36"/>
    </row>
    <row r="122" ht="15" customHeight="1" spans="1:7" x14ac:dyDescent="0.25">
      <c r="A122" s="36"/>
      <c r="E122" s="39"/>
      <c r="G122" s="36"/>
    </row>
    <row r="123" ht="15" customHeight="1" spans="1:7" x14ac:dyDescent="0.25">
      <c r="A123" s="36"/>
      <c r="E123" s="39"/>
      <c r="G123" s="36"/>
    </row>
    <row r="124" ht="15" customHeight="1" spans="1:7" x14ac:dyDescent="0.25">
      <c r="A124" s="36"/>
      <c r="E124" s="39"/>
      <c r="G124" s="36"/>
    </row>
    <row r="125" ht="15" customHeight="1" spans="1:7" x14ac:dyDescent="0.25">
      <c r="A125" s="36"/>
      <c r="E125" s="39"/>
      <c r="G125" s="36"/>
    </row>
    <row r="126" ht="15" customHeight="1" spans="1:7" x14ac:dyDescent="0.25">
      <c r="A126" s="36"/>
      <c r="E126" s="39"/>
      <c r="G126" s="36"/>
    </row>
    <row r="127" ht="15" customHeight="1" spans="1:7" x14ac:dyDescent="0.25">
      <c r="A127" s="36"/>
      <c r="E127" s="39"/>
      <c r="G127" s="36"/>
    </row>
    <row r="128" ht="15" customHeight="1" spans="1:7" x14ac:dyDescent="0.25">
      <c r="A128" s="36"/>
      <c r="E128" s="39"/>
      <c r="G128" s="36"/>
    </row>
    <row r="129" ht="15" customHeight="1" spans="1:7" x14ac:dyDescent="0.25">
      <c r="A129" s="36"/>
      <c r="E129" s="39"/>
      <c r="G129" s="36"/>
    </row>
    <row r="130" ht="15" customHeight="1" spans="1:7" x14ac:dyDescent="0.25">
      <c r="A130" s="36"/>
      <c r="E130" s="39"/>
      <c r="G130" s="36"/>
    </row>
    <row r="131" ht="15" customHeight="1" spans="1:7" x14ac:dyDescent="0.25">
      <c r="A131" s="36"/>
      <c r="E131" s="39"/>
      <c r="G131" s="36"/>
    </row>
    <row r="132" ht="15" customHeight="1" spans="1:7" x14ac:dyDescent="0.25">
      <c r="A132" s="36"/>
      <c r="E132" s="39"/>
      <c r="G132" s="36"/>
    </row>
    <row r="133" ht="15" customHeight="1" spans="1:7" x14ac:dyDescent="0.25">
      <c r="A133" s="36"/>
      <c r="E133" s="39"/>
      <c r="G133" s="36"/>
    </row>
    <row r="134" ht="15" customHeight="1" spans="1:7" x14ac:dyDescent="0.25">
      <c r="A134" s="36"/>
      <c r="E134" s="39"/>
      <c r="G134" s="36"/>
    </row>
    <row r="135" ht="15" customHeight="1" spans="1:7" x14ac:dyDescent="0.25">
      <c r="A135" s="36"/>
      <c r="E135" s="39"/>
      <c r="G135" s="36"/>
    </row>
    <row r="136" ht="15" customHeight="1" spans="1:7" x14ac:dyDescent="0.25">
      <c r="A136" s="36"/>
      <c r="E136" s="39"/>
      <c r="G136" s="36"/>
    </row>
    <row r="137" ht="15" customHeight="1" spans="1:7" x14ac:dyDescent="0.25">
      <c r="A137" s="36"/>
      <c r="E137" s="39"/>
      <c r="G137" s="36"/>
    </row>
    <row r="138" ht="15" customHeight="1" spans="1:7" x14ac:dyDescent="0.25">
      <c r="A138" s="36"/>
      <c r="E138" s="39"/>
      <c r="G138" s="36"/>
    </row>
    <row r="139" ht="15" customHeight="1" spans="1:7" x14ac:dyDescent="0.25">
      <c r="A139" s="36"/>
      <c r="E139" s="39"/>
      <c r="G139" s="36"/>
    </row>
    <row r="140" ht="15" customHeight="1" spans="1:7" x14ac:dyDescent="0.25">
      <c r="A140" s="36"/>
      <c r="E140" s="39"/>
      <c r="G140" s="36"/>
    </row>
    <row r="141" ht="15" customHeight="1" spans="1:7" x14ac:dyDescent="0.25">
      <c r="A141" s="36"/>
      <c r="E141" s="39"/>
      <c r="G141" s="36"/>
    </row>
    <row r="142" ht="15" customHeight="1" spans="1:7" x14ac:dyDescent="0.25">
      <c r="A142" s="36"/>
      <c r="E142" s="39"/>
      <c r="G142" s="36"/>
    </row>
    <row r="143" ht="15" customHeight="1" spans="1:7" x14ac:dyDescent="0.25">
      <c r="A143" s="36"/>
      <c r="E143" s="39"/>
      <c r="G143" s="36"/>
    </row>
    <row r="144" ht="15" customHeight="1" spans="1:7" x14ac:dyDescent="0.25">
      <c r="A144" s="36"/>
      <c r="E144" s="39"/>
      <c r="G144" s="36"/>
    </row>
    <row r="145" ht="15" customHeight="1" spans="1:7" x14ac:dyDescent="0.25">
      <c r="A145" s="36"/>
      <c r="E145" s="39"/>
      <c r="G145" s="36"/>
    </row>
    <row r="146" ht="15" customHeight="1" spans="1:7" x14ac:dyDescent="0.25">
      <c r="A146" s="36"/>
      <c r="E146" s="39"/>
      <c r="G146" s="36"/>
    </row>
    <row r="147" ht="15" customHeight="1" spans="1:7" x14ac:dyDescent="0.25">
      <c r="A147" s="36"/>
      <c r="E147" s="39"/>
      <c r="G147" s="36"/>
    </row>
    <row r="148" ht="15" customHeight="1" spans="1:7" x14ac:dyDescent="0.25">
      <c r="A148" s="36"/>
      <c r="E148" s="39"/>
      <c r="G148" s="36"/>
    </row>
    <row r="149" ht="15" customHeight="1" spans="1:7" x14ac:dyDescent="0.25">
      <c r="A149" s="36"/>
      <c r="E149" s="39"/>
      <c r="G149" s="36"/>
    </row>
    <row r="150" ht="15" customHeight="1" spans="1:7" x14ac:dyDescent="0.25">
      <c r="A150" s="36"/>
      <c r="E150" s="39"/>
      <c r="G150" s="36"/>
    </row>
    <row r="151" ht="15" customHeight="1" spans="1:7" x14ac:dyDescent="0.25">
      <c r="A151" s="36"/>
      <c r="E151" s="39"/>
      <c r="G151" s="36"/>
    </row>
    <row r="152" ht="15" customHeight="1" spans="1:7" x14ac:dyDescent="0.25">
      <c r="A152" s="36"/>
      <c r="E152" s="39"/>
      <c r="G152" s="36"/>
    </row>
    <row r="153" ht="15" customHeight="1" spans="1:7" x14ac:dyDescent="0.25">
      <c r="A153" s="36"/>
      <c r="E153" s="39"/>
      <c r="G153" s="36"/>
    </row>
    <row r="154" ht="15" customHeight="1" spans="1:7" x14ac:dyDescent="0.25">
      <c r="A154" s="36"/>
      <c r="E154" s="39"/>
      <c r="G154" s="36"/>
    </row>
    <row r="155" ht="15" customHeight="1" spans="1:7" x14ac:dyDescent="0.25">
      <c r="A155" s="36"/>
      <c r="E155" s="39"/>
      <c r="G155" s="36"/>
    </row>
    <row r="156" ht="15" customHeight="1" spans="1:7" x14ac:dyDescent="0.25">
      <c r="A156" s="36"/>
      <c r="E156" s="39"/>
      <c r="G156" s="36"/>
    </row>
    <row r="157" ht="15" customHeight="1" spans="1:7" x14ac:dyDescent="0.25">
      <c r="A157" s="36"/>
      <c r="E157" s="39"/>
      <c r="G157" s="36"/>
    </row>
    <row r="158" ht="15" customHeight="1" spans="1:7" x14ac:dyDescent="0.25">
      <c r="A158" s="36"/>
      <c r="E158" s="39"/>
      <c r="G158" s="36"/>
    </row>
    <row r="159" ht="15" customHeight="1" spans="1:7" x14ac:dyDescent="0.25">
      <c r="A159" s="36"/>
      <c r="E159" s="39"/>
      <c r="G159" s="36"/>
    </row>
    <row r="160" ht="15" customHeight="1" spans="1:7" x14ac:dyDescent="0.25">
      <c r="A160" s="36"/>
      <c r="E160" s="39"/>
      <c r="G160" s="36"/>
    </row>
    <row r="161" ht="15" customHeight="1" spans="1:7" x14ac:dyDescent="0.25">
      <c r="A161" s="36"/>
      <c r="E161" s="39"/>
      <c r="G161" s="36"/>
    </row>
    <row r="162" ht="15" customHeight="1" spans="1:7" x14ac:dyDescent="0.25">
      <c r="A162" s="36"/>
      <c r="E162" s="39"/>
      <c r="G162" s="36"/>
    </row>
    <row r="163" ht="15" customHeight="1" spans="1:7" x14ac:dyDescent="0.25">
      <c r="A163" s="36"/>
      <c r="E163" s="39"/>
      <c r="G163" s="36"/>
    </row>
    <row r="164" ht="15" customHeight="1" spans="1:7" x14ac:dyDescent="0.25">
      <c r="A164" s="36"/>
      <c r="E164" s="39"/>
      <c r="G164" s="36"/>
    </row>
    <row r="165" ht="15" customHeight="1" spans="1:7" x14ac:dyDescent="0.25">
      <c r="A165" s="36"/>
      <c r="E165" s="39"/>
      <c r="G165" s="36"/>
    </row>
    <row r="166" ht="15" customHeight="1" spans="1:7" x14ac:dyDescent="0.25">
      <c r="A166" s="36"/>
      <c r="E166" s="39"/>
      <c r="G166" s="36"/>
    </row>
    <row r="167" ht="15" customHeight="1" spans="1:7" x14ac:dyDescent="0.25">
      <c r="A167" s="36"/>
      <c r="E167" s="39"/>
      <c r="G167" s="36"/>
    </row>
    <row r="168" ht="15" customHeight="1" spans="1:7" x14ac:dyDescent="0.25">
      <c r="A168" s="36"/>
      <c r="E168" s="39"/>
      <c r="G168" s="36"/>
    </row>
    <row r="169" ht="15" customHeight="1" spans="1:7" x14ac:dyDescent="0.25">
      <c r="A169" s="36"/>
      <c r="E169" s="39"/>
      <c r="G169" s="36"/>
    </row>
    <row r="170" ht="15" customHeight="1" spans="1:7" x14ac:dyDescent="0.25">
      <c r="A170" s="36"/>
      <c r="E170" s="39"/>
      <c r="G170" s="36"/>
    </row>
    <row r="171" ht="15" customHeight="1" spans="1:7" x14ac:dyDescent="0.25">
      <c r="A171" s="36"/>
      <c r="E171" s="39"/>
      <c r="G171" s="36"/>
    </row>
    <row r="172" ht="15" customHeight="1" spans="1:7" x14ac:dyDescent="0.25">
      <c r="A172" s="36"/>
      <c r="E172" s="39"/>
      <c r="G172" s="36"/>
    </row>
    <row r="173" ht="15" customHeight="1" spans="1:7" x14ac:dyDescent="0.25">
      <c r="A173" s="36"/>
      <c r="E173" s="39"/>
      <c r="G173" s="36"/>
    </row>
    <row r="174" ht="15" customHeight="1" spans="1:7" x14ac:dyDescent="0.25">
      <c r="A174" s="36"/>
      <c r="E174" s="39"/>
      <c r="G174" s="36"/>
    </row>
    <row r="175" ht="15" customHeight="1" spans="1:7" x14ac:dyDescent="0.25">
      <c r="A175" s="36"/>
      <c r="E175" s="39"/>
      <c r="G175" s="36"/>
    </row>
    <row r="176" ht="15" customHeight="1" spans="1:7" x14ac:dyDescent="0.25">
      <c r="A176" s="36"/>
      <c r="E176" s="39"/>
      <c r="G176" s="36"/>
    </row>
    <row r="177" ht="15" customHeight="1" spans="1:7" x14ac:dyDescent="0.25">
      <c r="A177" s="36"/>
      <c r="E177" s="39"/>
      <c r="G177" s="36"/>
    </row>
    <row r="178" ht="15" customHeight="1" spans="1:7" x14ac:dyDescent="0.25">
      <c r="A178" s="36"/>
      <c r="E178" s="39"/>
      <c r="G178" s="36"/>
    </row>
    <row r="179" ht="15" customHeight="1" spans="1:7" x14ac:dyDescent="0.25">
      <c r="A179" s="36"/>
      <c r="E179" s="39"/>
      <c r="G179" s="36"/>
    </row>
    <row r="180" ht="15" customHeight="1" spans="1:7" x14ac:dyDescent="0.25">
      <c r="A180" s="36"/>
      <c r="E180" s="39"/>
      <c r="G180" s="36"/>
    </row>
    <row r="181" ht="15" customHeight="1" spans="1:7" x14ac:dyDescent="0.25">
      <c r="A181" s="36"/>
      <c r="E181" s="39"/>
      <c r="G181" s="36"/>
    </row>
    <row r="182" ht="15" customHeight="1" spans="1:7" x14ac:dyDescent="0.25">
      <c r="A182" s="36"/>
      <c r="E182" s="39"/>
      <c r="G182" s="36"/>
    </row>
    <row r="183" ht="15" customHeight="1" spans="1:7" x14ac:dyDescent="0.25">
      <c r="A183" s="36"/>
      <c r="E183" s="39"/>
      <c r="G183" s="36"/>
    </row>
    <row r="184" ht="15" customHeight="1" spans="1:7" x14ac:dyDescent="0.25">
      <c r="A184" s="36"/>
      <c r="E184" s="39"/>
      <c r="G184" s="36"/>
    </row>
    <row r="185" ht="15" customHeight="1" spans="1:7" x14ac:dyDescent="0.25">
      <c r="A185" s="36"/>
      <c r="E185" s="39"/>
      <c r="G185" s="36"/>
    </row>
    <row r="186" ht="15" customHeight="1" spans="1:7" x14ac:dyDescent="0.25">
      <c r="A186" s="36"/>
      <c r="E186" s="39"/>
      <c r="G186" s="36"/>
    </row>
    <row r="187" ht="15" customHeight="1" spans="1:7" x14ac:dyDescent="0.25">
      <c r="A187" s="36"/>
      <c r="E187" s="39"/>
      <c r="G187" s="36"/>
    </row>
    <row r="188" ht="15" customHeight="1" spans="1:7" x14ac:dyDescent="0.25">
      <c r="A188" s="36"/>
      <c r="E188" s="39"/>
      <c r="G188" s="36"/>
    </row>
    <row r="189" ht="15" customHeight="1" spans="1:7" x14ac:dyDescent="0.25">
      <c r="A189" s="36"/>
      <c r="E189" s="39"/>
      <c r="G189" s="36"/>
    </row>
    <row r="190" ht="15" customHeight="1" spans="1:7" x14ac:dyDescent="0.25">
      <c r="A190" s="36"/>
      <c r="E190" s="39"/>
      <c r="G190" s="36"/>
    </row>
    <row r="191" ht="15" customHeight="1" spans="1:7" x14ac:dyDescent="0.25">
      <c r="A191" s="36"/>
      <c r="E191" s="39"/>
      <c r="G191" s="36"/>
    </row>
    <row r="192" ht="15" customHeight="1" spans="1:7" x14ac:dyDescent="0.25">
      <c r="A192" s="36"/>
      <c r="E192" s="39"/>
      <c r="G192" s="36"/>
    </row>
    <row r="193" ht="15" customHeight="1" spans="1:7" x14ac:dyDescent="0.25">
      <c r="A193" s="36"/>
      <c r="E193" s="39"/>
      <c r="G193" s="36"/>
    </row>
    <row r="194" ht="15" customHeight="1" spans="1:7" x14ac:dyDescent="0.25">
      <c r="A194" s="36"/>
      <c r="E194" s="39"/>
      <c r="G194" s="36"/>
    </row>
    <row r="195" ht="15" customHeight="1" spans="1:7" x14ac:dyDescent="0.25">
      <c r="A195" s="36"/>
      <c r="E195" s="39"/>
      <c r="G195" s="36"/>
    </row>
    <row r="196" ht="15" customHeight="1" spans="1:7" x14ac:dyDescent="0.25">
      <c r="A196" s="36"/>
      <c r="E196" s="39"/>
      <c r="G196" s="36"/>
    </row>
    <row r="197" ht="15" customHeight="1" spans="1:7" x14ac:dyDescent="0.25">
      <c r="A197" s="36"/>
      <c r="E197" s="39"/>
      <c r="G197" s="36"/>
    </row>
    <row r="198" ht="15" customHeight="1" spans="1:7" x14ac:dyDescent="0.25">
      <c r="A198" s="36"/>
      <c r="E198" s="39"/>
      <c r="G198" s="36"/>
    </row>
    <row r="199" ht="15" customHeight="1" spans="1:7" x14ac:dyDescent="0.25">
      <c r="A199" s="36"/>
      <c r="E199" s="39"/>
      <c r="G199" s="36"/>
    </row>
    <row r="200" ht="15" customHeight="1" spans="1:7" x14ac:dyDescent="0.25">
      <c r="A200" s="36"/>
      <c r="E200" s="39"/>
      <c r="G200" s="36"/>
    </row>
    <row r="201" ht="15" customHeight="1" spans="1:7" x14ac:dyDescent="0.25">
      <c r="A201" s="36"/>
      <c r="E201" s="39"/>
      <c r="G201" s="36"/>
    </row>
    <row r="202" ht="15" customHeight="1" spans="1:7" x14ac:dyDescent="0.25">
      <c r="A202" s="36"/>
      <c r="E202" s="39"/>
      <c r="G202" s="36"/>
    </row>
    <row r="203" ht="15" customHeight="1" spans="1:7" x14ac:dyDescent="0.25">
      <c r="A203" s="36"/>
      <c r="E203" s="39"/>
      <c r="G203" s="36"/>
    </row>
    <row r="204" ht="15" customHeight="1" spans="1:7" x14ac:dyDescent="0.25">
      <c r="A204" s="36"/>
      <c r="E204" s="39"/>
      <c r="G204" s="36"/>
    </row>
    <row r="205" ht="15" customHeight="1" spans="1:7" x14ac:dyDescent="0.25">
      <c r="A205" s="36"/>
      <c r="E205" s="39"/>
      <c r="G205" s="36"/>
    </row>
    <row r="206" ht="15" customHeight="1" spans="1:7" x14ac:dyDescent="0.25">
      <c r="A206" s="36"/>
      <c r="E206" s="39"/>
      <c r="G206" s="36"/>
    </row>
    <row r="207" ht="15" customHeight="1" spans="1:7" x14ac:dyDescent="0.25">
      <c r="A207" s="36"/>
      <c r="E207" s="39"/>
      <c r="G207" s="36"/>
    </row>
    <row r="208" ht="15" customHeight="1" spans="1:7" x14ac:dyDescent="0.25">
      <c r="A208" s="36"/>
      <c r="E208" s="39"/>
      <c r="G208" s="36"/>
    </row>
    <row r="209" ht="15" customHeight="1" spans="1:7" x14ac:dyDescent="0.25">
      <c r="A209" s="36"/>
      <c r="E209" s="39"/>
      <c r="G209" s="36"/>
    </row>
    <row r="210" ht="15" customHeight="1" spans="1:7" x14ac:dyDescent="0.25">
      <c r="A210" s="36"/>
      <c r="E210" s="39"/>
      <c r="G210" s="36"/>
    </row>
    <row r="211" ht="15" customHeight="1" spans="1:7" x14ac:dyDescent="0.25">
      <c r="A211" s="36"/>
      <c r="E211" s="39"/>
      <c r="G211" s="36"/>
    </row>
  </sheetData>
  <mergeCells count="12">
    <mergeCell ref="A1:G1"/>
    <mergeCell ref="A2:G2"/>
    <mergeCell ref="A4:B4"/>
    <mergeCell ref="C4:D4"/>
    <mergeCell ref="E4:F4"/>
    <mergeCell ref="G4:H4"/>
    <mergeCell ref="A5:B5"/>
    <mergeCell ref="C5:D5"/>
    <mergeCell ref="E5:F5"/>
    <mergeCell ref="G5:H5"/>
    <mergeCell ref="A7:B7"/>
    <mergeCell ref="A8:B8"/>
  </mergeCells>
  <dataValidations count="6">
    <dataValidation type="list" allowBlank="1" sqref="C100:C211">
      <formula1>ListaSDR</formula1>
      <formula2>0</formula2>
    </dataValidation>
    <dataValidation type="list" allowBlank="1" sqref="C12:C211">
      <formula1>ListaSDR</formula1>
      <formula2>0</formula2>
    </dataValidation>
    <dataValidation type="list" allowBlank="1" sqref="D100:D211">
      <formula1>ListaTipoProposta</formula1>
      <formula2>0</formula2>
    </dataValidation>
    <dataValidation type="list" allowBlank="1" sqref="D12:D211">
      <formula1>ListaTipoProposta</formula1>
      <formula2>0</formula2>
    </dataValidation>
    <dataValidation type="list" allowBlank="1" sqref="F100:F211">
      <formula1>ListaStatusProposta</formula1>
      <formula2>0</formula2>
    </dataValidation>
    <dataValidation type="list" allowBlank="1" sqref="F12:F211">
      <formula1>ListaStatusProposta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 scale="100" fitToWidth="1" fitToHeight="1" firstPageNumber="1" useFirstPageNumber="1" copies="1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5"/>
  <sheetViews>
    <sheetView workbookViewId="0" zoomScale="100" zoomScaleNormal="100">
      <selection activeCell="B14" sqref="B14"/>
    </sheetView>
  </sheetViews>
  <sheetFormatPr defaultRowHeight="15" outlineLevelRow="0" outlineLevelCol="0" x14ac:dyDescent="0" defaultColWidth="8.7109375"/>
  <cols>
    <col min="1" max="1" width="37.5703125" customWidth="1"/>
    <col min="2" max="2" width="18.85546875" customWidth="1"/>
  </cols>
  <sheetData>
    <row r="1" spans="1:3" x14ac:dyDescent="0.25">
      <c r="A1" s="40" t="s">
        <v>36</v>
      </c>
      <c r="B1" s="40" t="s">
        <v>82</v>
      </c>
      <c r="C1" s="40" t="s">
        <v>89</v>
      </c>
    </row>
    <row r="2" spans="1:3" x14ac:dyDescent="0.25">
      <c r="A2" t="s">
        <v>163</v>
      </c>
      <c r="B2" s="36">
        <v>46054</v>
      </c>
      <c r="C2" t="s">
        <v>809</v>
      </c>
    </row>
    <row r="3" spans="1:3" x14ac:dyDescent="0.25">
      <c r="A3" t="s">
        <v>46</v>
      </c>
      <c r="B3" s="36">
        <v>46023</v>
      </c>
      <c r="C3" t="s">
        <v>95</v>
      </c>
    </row>
    <row r="4" spans="1:3" x14ac:dyDescent="0.25">
      <c r="A4" t="s">
        <v>50</v>
      </c>
      <c r="B4" s="36">
        <v>45962</v>
      </c>
      <c r="C4" t="s">
        <v>95</v>
      </c>
    </row>
    <row r="5" spans="1:3" x14ac:dyDescent="0.25">
      <c r="A5" t="s">
        <v>197</v>
      </c>
      <c r="B5" s="36">
        <v>45931</v>
      </c>
      <c r="C5" t="s">
        <v>809</v>
      </c>
    </row>
    <row r="6" spans="1:3" x14ac:dyDescent="0.25">
      <c r="A6" t="s">
        <v>47</v>
      </c>
      <c r="B6" s="36">
        <v>46023</v>
      </c>
      <c r="C6" t="s">
        <v>95</v>
      </c>
    </row>
    <row r="7" spans="1:3" x14ac:dyDescent="0.25">
      <c r="A7" t="s">
        <v>51</v>
      </c>
      <c r="B7" s="36">
        <v>45627</v>
      </c>
      <c r="C7" t="s">
        <v>95</v>
      </c>
    </row>
    <row r="8" spans="1:3" x14ac:dyDescent="0.25">
      <c r="A8" t="s">
        <v>49</v>
      </c>
      <c r="B8" s="36">
        <v>45870</v>
      </c>
      <c r="C8" t="s">
        <v>95</v>
      </c>
    </row>
    <row r="9" spans="1:3" x14ac:dyDescent="0.25">
      <c r="A9" t="s">
        <v>48</v>
      </c>
      <c r="B9" s="36">
        <v>45992</v>
      </c>
      <c r="C9" t="s">
        <v>95</v>
      </c>
    </row>
    <row r="10" spans="1:3" x14ac:dyDescent="0.25">
      <c r="A10" t="s">
        <v>45</v>
      </c>
      <c r="B10" s="36">
        <v>46113</v>
      </c>
      <c r="C10" t="s">
        <v>95</v>
      </c>
    </row>
    <row r="11" spans="1:3" x14ac:dyDescent="0.25">
      <c r="A11" t="s">
        <v>44</v>
      </c>
      <c r="B11" s="36">
        <v>46147</v>
      </c>
      <c r="C11" t="s">
        <v>95</v>
      </c>
    </row>
    <row r="12" spans="1:3" x14ac:dyDescent="0.25">
      <c r="A12" t="s">
        <v>810</v>
      </c>
      <c r="B12" s="41"/>
      <c r="C12" t="s">
        <v>95</v>
      </c>
    </row>
    <row r="13" spans="1:3" x14ac:dyDescent="0.25">
      <c r="A13" t="s">
        <v>811</v>
      </c>
      <c r="B13" s="41"/>
      <c r="C13" t="s">
        <v>95</v>
      </c>
    </row>
    <row r="15" ht="32.85" customHeight="1" spans="1:3" x14ac:dyDescent="0.25">
      <c r="A15" s="35" t="s">
        <v>812</v>
      </c>
      <c r="B15" s="35"/>
      <c r="C15" s="35"/>
    </row>
  </sheetData>
  <mergeCells count="1">
    <mergeCell ref="A15:C15"/>
  </mergeCells>
  <dataValidations count="2">
    <dataValidation type="list" allowBlank="1" sqref="C10:C15">
      <formula1>"Ativo,Inativo"</formula1>
      <formula2>0</formula2>
    </dataValidation>
    <dataValidation type="list" allowBlank="1" sqref="C2:C15">
      <formula1>"Ativo,Inativo"</formula1>
      <formula2>0</formula2>
    </dataValidation>
  </dataValidations>
  <pageMargins left="0.511805555555556" right="0.511805555555556" top="0.7875" bottom="0.7875" header="0.511811023622047" footer="0.511811023622047"/>
  <pageSetup paperSize="9" orientation="portrait" horizontalDpi="300" verticalDpi="300" scale="100" fitToWidth="1" fitToHeight="1" firstPageNumber="1" useFirstPageNumber="1" copies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69"/>
  <sheetViews>
    <sheetView workbookViewId="0" zoomScale="100" zoomScaleNormal="100"/>
  </sheetViews>
  <sheetFormatPr defaultRowHeight="15" outlineLevelRow="0" outlineLevelCol="0" x14ac:dyDescent="0" defaultColWidth="8.7109375"/>
  <sheetData>
    <row r="1" ht="15" customHeight="1" spans="1:19" x14ac:dyDescent="0.25">
      <c r="A1" t="s">
        <v>36</v>
      </c>
      <c r="C1" t="s">
        <v>89</v>
      </c>
      <c r="E1" t="s">
        <v>813</v>
      </c>
      <c r="G1" t="s">
        <v>814</v>
      </c>
      <c r="I1" t="s">
        <v>815</v>
      </c>
      <c r="K1" t="s">
        <v>816</v>
      </c>
      <c r="M1" t="s">
        <v>817</v>
      </c>
      <c r="O1" t="s">
        <v>818</v>
      </c>
      <c r="Q1" t="s">
        <v>819</v>
      </c>
      <c r="S1" t="s">
        <v>83</v>
      </c>
    </row>
    <row r="2" ht="15" customHeight="1" spans="1:19" x14ac:dyDescent="0.25">
      <c r="A2" t="s">
        <v>44</v>
      </c>
      <c r="C2" t="s">
        <v>151</v>
      </c>
      <c r="E2" t="s">
        <v>152</v>
      </c>
      <c r="G2" t="s">
        <v>797</v>
      </c>
      <c r="I2" t="s">
        <v>820</v>
      </c>
      <c r="K2" t="s">
        <v>255</v>
      </c>
      <c r="M2" t="s">
        <v>802</v>
      </c>
      <c r="O2" t="s">
        <v>369</v>
      </c>
      <c r="Q2" t="s">
        <v>60</v>
      </c>
      <c r="S2" t="s">
        <v>821</v>
      </c>
    </row>
    <row r="3" ht="15" customHeight="1" spans="1:19" x14ac:dyDescent="0.25">
      <c r="A3" t="s">
        <v>45</v>
      </c>
      <c r="C3" t="s">
        <v>143</v>
      </c>
      <c r="E3" t="s">
        <v>278</v>
      </c>
      <c r="G3" t="s">
        <v>792</v>
      </c>
      <c r="I3" t="s">
        <v>822</v>
      </c>
      <c r="K3" t="s">
        <v>339</v>
      </c>
      <c r="M3" t="s">
        <v>823</v>
      </c>
      <c r="O3" t="s">
        <v>824</v>
      </c>
      <c r="Q3" t="s">
        <v>61</v>
      </c>
      <c r="S3" t="s">
        <v>825</v>
      </c>
    </row>
    <row r="4" ht="15" customHeight="1" spans="1:19" x14ac:dyDescent="0.25">
      <c r="A4" t="s">
        <v>46</v>
      </c>
      <c r="C4" t="s">
        <v>826</v>
      </c>
      <c r="G4" t="s">
        <v>795</v>
      </c>
      <c r="I4" t="s">
        <v>3</v>
      </c>
      <c r="K4" t="s">
        <v>827</v>
      </c>
      <c r="M4" t="s">
        <v>828</v>
      </c>
      <c r="Q4" t="s">
        <v>62</v>
      </c>
      <c r="S4" t="s">
        <v>829</v>
      </c>
    </row>
    <row r="5" ht="15" customHeight="1" spans="1:19" x14ac:dyDescent="0.25">
      <c r="A5" t="s">
        <v>47</v>
      </c>
      <c r="C5" t="s">
        <v>198</v>
      </c>
      <c r="G5" t="s">
        <v>803</v>
      </c>
      <c r="K5" t="s">
        <v>830</v>
      </c>
      <c r="M5" t="s">
        <v>831</v>
      </c>
      <c r="Q5" t="s">
        <v>63</v>
      </c>
      <c r="S5" t="s">
        <v>305</v>
      </c>
    </row>
    <row r="6" ht="15" customHeight="1" spans="1:19" x14ac:dyDescent="0.25">
      <c r="A6" t="s">
        <v>48</v>
      </c>
      <c r="K6" t="s">
        <v>832</v>
      </c>
      <c r="M6" t="s">
        <v>833</v>
      </c>
      <c r="Q6" t="s">
        <v>64</v>
      </c>
      <c r="S6" t="s">
        <v>149</v>
      </c>
    </row>
    <row r="7" ht="15" customHeight="1" spans="1:19" x14ac:dyDescent="0.25">
      <c r="A7" t="s">
        <v>49</v>
      </c>
      <c r="K7" t="s">
        <v>286</v>
      </c>
      <c r="M7" t="s">
        <v>834</v>
      </c>
      <c r="Q7" t="s">
        <v>65</v>
      </c>
      <c r="S7" t="s">
        <v>299</v>
      </c>
    </row>
    <row r="8" ht="15" customHeight="1" spans="1:19" x14ac:dyDescent="0.25">
      <c r="A8" t="s">
        <v>50</v>
      </c>
      <c r="K8" t="s">
        <v>136</v>
      </c>
      <c r="M8" t="s">
        <v>835</v>
      </c>
      <c r="Q8" t="s">
        <v>66</v>
      </c>
      <c r="S8" t="s">
        <v>294</v>
      </c>
    </row>
    <row r="9" ht="15" customHeight="1" spans="1:19" x14ac:dyDescent="0.25">
      <c r="A9" t="s">
        <v>51</v>
      </c>
      <c r="K9" t="s">
        <v>836</v>
      </c>
      <c r="M9" t="s">
        <v>837</v>
      </c>
      <c r="Q9" t="s">
        <v>67</v>
      </c>
      <c r="S9" t="s">
        <v>271</v>
      </c>
    </row>
    <row r="10" ht="15" customHeight="1" spans="1:19" x14ac:dyDescent="0.25">
      <c r="A10" t="s">
        <v>52</v>
      </c>
      <c r="K10" t="s">
        <v>203</v>
      </c>
      <c r="M10" t="s">
        <v>838</v>
      </c>
      <c r="S10" t="s">
        <v>170</v>
      </c>
    </row>
    <row r="11" ht="15" customHeight="1" spans="1:19" x14ac:dyDescent="0.25">
      <c r="A11" t="s">
        <v>53</v>
      </c>
      <c r="K11" t="s">
        <v>222</v>
      </c>
      <c r="M11" t="s">
        <v>839</v>
      </c>
      <c r="S11" t="s">
        <v>840</v>
      </c>
    </row>
    <row r="12" ht="15" customHeight="1" spans="1:19" x14ac:dyDescent="0.25">
      <c r="A12" t="s">
        <v>54</v>
      </c>
      <c r="K12" t="s">
        <v>841</v>
      </c>
      <c r="M12" t="s">
        <v>794</v>
      </c>
      <c r="S12" t="s">
        <v>252</v>
      </c>
    </row>
    <row r="13" ht="15" customHeight="1" spans="1:19" x14ac:dyDescent="0.25">
      <c r="A13" t="s">
        <v>55</v>
      </c>
      <c r="K13" t="s">
        <v>842</v>
      </c>
      <c r="M13" t="s">
        <v>843</v>
      </c>
      <c r="S13" t="s">
        <v>266</v>
      </c>
    </row>
    <row r="14" ht="15" customHeight="1" spans="1:19" x14ac:dyDescent="0.25">
      <c r="A14" t="s">
        <v>844</v>
      </c>
      <c r="K14" t="s">
        <v>845</v>
      </c>
      <c r="M14" t="s">
        <v>846</v>
      </c>
      <c r="S14" t="s">
        <v>97</v>
      </c>
    </row>
    <row r="15" ht="15" customHeight="1" spans="1:19" x14ac:dyDescent="0.25">
      <c r="A15" t="s">
        <v>847</v>
      </c>
      <c r="K15" t="s">
        <v>848</v>
      </c>
      <c r="M15" t="s">
        <v>849</v>
      </c>
      <c r="S15" t="s">
        <v>850</v>
      </c>
    </row>
    <row r="16" ht="15" customHeight="1" spans="1:19" x14ac:dyDescent="0.25">
      <c r="A16" t="s">
        <v>851</v>
      </c>
      <c r="K16" t="s">
        <v>852</v>
      </c>
      <c r="M16" t="s">
        <v>853</v>
      </c>
      <c r="S16" t="s">
        <v>351</v>
      </c>
    </row>
    <row r="17" ht="15" customHeight="1" spans="1:19" x14ac:dyDescent="0.25">
      <c r="A17" t="s">
        <v>854</v>
      </c>
      <c r="K17" t="s">
        <v>855</v>
      </c>
      <c r="M17" t="s">
        <v>808</v>
      </c>
      <c r="S17" t="s">
        <v>92</v>
      </c>
    </row>
    <row r="18" ht="15" customHeight="1" spans="1:19" x14ac:dyDescent="0.25">
      <c r="A18" t="s">
        <v>856</v>
      </c>
      <c r="K18" t="s">
        <v>857</v>
      </c>
      <c r="M18" t="s">
        <v>799</v>
      </c>
      <c r="S18" t="s">
        <v>858</v>
      </c>
    </row>
    <row r="19" ht="15" customHeight="1" spans="11:19" x14ac:dyDescent="0.25">
      <c r="K19" t="s">
        <v>859</v>
      </c>
      <c r="M19" t="s">
        <v>860</v>
      </c>
      <c r="S19" t="s">
        <v>861</v>
      </c>
    </row>
    <row r="20" ht="15" customHeight="1" spans="11:19" x14ac:dyDescent="0.25">
      <c r="K20" t="s">
        <v>233</v>
      </c>
      <c r="M20" t="s">
        <v>862</v>
      </c>
      <c r="S20" t="s">
        <v>311</v>
      </c>
    </row>
    <row r="21" ht="15" customHeight="1" spans="11:19" x14ac:dyDescent="0.25">
      <c r="K21" t="s">
        <v>183</v>
      </c>
      <c r="M21" t="s">
        <v>863</v>
      </c>
      <c r="S21" t="s">
        <v>237</v>
      </c>
    </row>
    <row r="22" ht="15" customHeight="1" spans="11:19" x14ac:dyDescent="0.25">
      <c r="K22" t="s">
        <v>864</v>
      </c>
      <c r="M22" t="s">
        <v>865</v>
      </c>
      <c r="S22" t="s">
        <v>99</v>
      </c>
    </row>
    <row r="23" ht="15" customHeight="1" spans="11:19" x14ac:dyDescent="0.25">
      <c r="K23" t="s">
        <v>173</v>
      </c>
      <c r="M23" t="s">
        <v>866</v>
      </c>
      <c r="S23" t="s">
        <v>867</v>
      </c>
    </row>
    <row r="24" ht="15" customHeight="1" spans="11:19" x14ac:dyDescent="0.25">
      <c r="K24" t="s">
        <v>868</v>
      </c>
      <c r="M24" t="s">
        <v>869</v>
      </c>
      <c r="S24" t="s">
        <v>870</v>
      </c>
    </row>
    <row r="25" ht="15" customHeight="1" spans="11:19" x14ac:dyDescent="0.25">
      <c r="K25" t="s">
        <v>871</v>
      </c>
      <c r="M25" t="s">
        <v>872</v>
      </c>
      <c r="S25" t="s">
        <v>157</v>
      </c>
    </row>
    <row r="26" ht="15" customHeight="1" spans="11:19" x14ac:dyDescent="0.25">
      <c r="K26" t="s">
        <v>873</v>
      </c>
      <c r="M26" t="s">
        <v>874</v>
      </c>
      <c r="S26" t="s">
        <v>141</v>
      </c>
    </row>
    <row r="27" ht="15" customHeight="1" spans="11:19" x14ac:dyDescent="0.25">
      <c r="K27" t="s">
        <v>875</v>
      </c>
      <c r="M27" t="s">
        <v>876</v>
      </c>
      <c r="S27" t="s">
        <v>877</v>
      </c>
    </row>
    <row r="28" ht="15" customHeight="1" spans="11:19" x14ac:dyDescent="0.25">
      <c r="K28" t="s">
        <v>878</v>
      </c>
      <c r="M28" t="s">
        <v>879</v>
      </c>
      <c r="S28" t="s">
        <v>880</v>
      </c>
    </row>
    <row r="29" ht="15" customHeight="1" spans="11:13" x14ac:dyDescent="0.25">
      <c r="K29" t="s">
        <v>240</v>
      </c>
      <c r="M29" t="s">
        <v>881</v>
      </c>
    </row>
    <row r="30" ht="15" customHeight="1" spans="11:13" x14ac:dyDescent="0.25">
      <c r="K30" t="s">
        <v>882</v>
      </c>
      <c r="M30" t="s">
        <v>883</v>
      </c>
    </row>
    <row r="31" ht="15" customHeight="1" spans="11:13" x14ac:dyDescent="0.25">
      <c r="K31" t="s">
        <v>280</v>
      </c>
      <c r="M31" t="s">
        <v>884</v>
      </c>
    </row>
    <row r="32" ht="15" customHeight="1" spans="11:13" x14ac:dyDescent="0.25">
      <c r="K32" t="s">
        <v>325</v>
      </c>
      <c r="M32" t="s">
        <v>885</v>
      </c>
    </row>
    <row r="33" ht="15" customHeight="1" spans="11:13" x14ac:dyDescent="0.25">
      <c r="K33" t="s">
        <v>886</v>
      </c>
      <c r="M33" t="s">
        <v>887</v>
      </c>
    </row>
    <row r="34" ht="15" customHeight="1" spans="11:13" x14ac:dyDescent="0.25">
      <c r="K34" t="s">
        <v>165</v>
      </c>
      <c r="M34" t="s">
        <v>888</v>
      </c>
    </row>
    <row r="35" ht="15" customHeight="1" spans="11:13" x14ac:dyDescent="0.25">
      <c r="K35" t="s">
        <v>889</v>
      </c>
      <c r="M35" t="s">
        <v>796</v>
      </c>
    </row>
    <row r="36" ht="15" customHeight="1" spans="13:13" x14ac:dyDescent="0.25">
      <c r="M36" t="s">
        <v>890</v>
      </c>
    </row>
    <row r="37" ht="15" customHeight="1" spans="13:13" x14ac:dyDescent="0.25">
      <c r="M37" t="s">
        <v>891</v>
      </c>
    </row>
    <row r="38" ht="15" customHeight="1" spans="13:13" x14ac:dyDescent="0.25">
      <c r="M38" t="s">
        <v>892</v>
      </c>
    </row>
    <row r="39" ht="15" customHeight="1" spans="13:13" x14ac:dyDescent="0.25">
      <c r="M39" t="s">
        <v>893</v>
      </c>
    </row>
    <row r="40" ht="15" customHeight="1" spans="13:13" x14ac:dyDescent="0.25">
      <c r="M40" t="s">
        <v>894</v>
      </c>
    </row>
    <row r="41" ht="15" customHeight="1" spans="13:13" x14ac:dyDescent="0.25">
      <c r="M41" t="s">
        <v>895</v>
      </c>
    </row>
    <row r="42" ht="15" customHeight="1" spans="13:13" x14ac:dyDescent="0.25">
      <c r="M42" t="s">
        <v>896</v>
      </c>
    </row>
    <row r="43" ht="15" customHeight="1" spans="13:13" x14ac:dyDescent="0.25">
      <c r="M43" t="s">
        <v>897</v>
      </c>
    </row>
    <row r="44" ht="15" customHeight="1" spans="13:13" x14ac:dyDescent="0.25">
      <c r="M44" t="s">
        <v>807</v>
      </c>
    </row>
    <row r="45" ht="15" customHeight="1" spans="13:13" x14ac:dyDescent="0.25">
      <c r="M45" t="s">
        <v>791</v>
      </c>
    </row>
    <row r="46" ht="15" customHeight="1" spans="13:13" x14ac:dyDescent="0.25">
      <c r="M46" t="s">
        <v>898</v>
      </c>
    </row>
    <row r="47" ht="15" customHeight="1" spans="13:13" x14ac:dyDescent="0.25">
      <c r="M47" t="s">
        <v>899</v>
      </c>
    </row>
    <row r="48" ht="15" customHeight="1" spans="13:13" x14ac:dyDescent="0.25">
      <c r="M48" t="s">
        <v>900</v>
      </c>
    </row>
    <row r="49" ht="15" customHeight="1" spans="13:13" x14ac:dyDescent="0.25">
      <c r="M49" t="s">
        <v>901</v>
      </c>
    </row>
    <row r="50" ht="15" customHeight="1" spans="13:13" x14ac:dyDescent="0.25">
      <c r="M50" t="s">
        <v>902</v>
      </c>
    </row>
    <row r="51" ht="15" customHeight="1" spans="13:13" x14ac:dyDescent="0.25">
      <c r="M51" t="s">
        <v>903</v>
      </c>
    </row>
    <row r="52" ht="15" customHeight="1" spans="13:13" x14ac:dyDescent="0.25">
      <c r="M52" t="s">
        <v>800</v>
      </c>
    </row>
    <row r="53" ht="15" customHeight="1" spans="13:13" x14ac:dyDescent="0.25">
      <c r="M53" t="s">
        <v>904</v>
      </c>
    </row>
    <row r="54" ht="15" customHeight="1" spans="13:13" x14ac:dyDescent="0.25">
      <c r="M54" t="s">
        <v>905</v>
      </c>
    </row>
    <row r="55" ht="15" customHeight="1" spans="13:13" x14ac:dyDescent="0.25">
      <c r="M55" t="s">
        <v>906</v>
      </c>
    </row>
    <row r="56" ht="15" customHeight="1" spans="13:13" x14ac:dyDescent="0.25">
      <c r="M56" t="s">
        <v>907</v>
      </c>
    </row>
    <row r="57" ht="15" customHeight="1" spans="13:13" x14ac:dyDescent="0.25">
      <c r="M57" t="s">
        <v>908</v>
      </c>
    </row>
    <row r="58" ht="15" customHeight="1" spans="13:13" x14ac:dyDescent="0.25">
      <c r="M58" t="s">
        <v>909</v>
      </c>
    </row>
    <row r="59" ht="15" customHeight="1" spans="13:13" x14ac:dyDescent="0.25">
      <c r="M59" t="s">
        <v>910</v>
      </c>
    </row>
    <row r="60" ht="15" customHeight="1" spans="13:13" x14ac:dyDescent="0.25">
      <c r="M60" t="s">
        <v>911</v>
      </c>
    </row>
    <row r="61" ht="15" customHeight="1" spans="13:13" x14ac:dyDescent="0.25">
      <c r="M61" t="s">
        <v>912</v>
      </c>
    </row>
    <row r="62" ht="15" customHeight="1" spans="13:13" x14ac:dyDescent="0.25">
      <c r="M62" t="s">
        <v>913</v>
      </c>
    </row>
    <row r="63" ht="15" customHeight="1" spans="13:13" x14ac:dyDescent="0.25">
      <c r="M63" t="s">
        <v>914</v>
      </c>
    </row>
    <row r="64" ht="15" customHeight="1" spans="13:13" x14ac:dyDescent="0.25">
      <c r="M64" t="s">
        <v>915</v>
      </c>
    </row>
    <row r="65" ht="15" customHeight="1" spans="13:13" x14ac:dyDescent="0.25">
      <c r="M65" t="s">
        <v>318</v>
      </c>
    </row>
    <row r="66" ht="15" customHeight="1" spans="13:13" x14ac:dyDescent="0.25">
      <c r="M66" t="s">
        <v>916</v>
      </c>
    </row>
    <row r="67" ht="15" customHeight="1" spans="13:13" x14ac:dyDescent="0.25">
      <c r="M67" t="s">
        <v>917</v>
      </c>
    </row>
    <row r="68" ht="15" customHeight="1" spans="13:13" x14ac:dyDescent="0.25">
      <c r="M68" t="s">
        <v>918</v>
      </c>
    </row>
    <row r="69" ht="15" customHeight="1" spans="13:13" x14ac:dyDescent="0.25">
      <c r="M69" t="s">
        <v>919</v>
      </c>
    </row>
  </sheetData>
  <pageMargins left="0.75" right="0.75" top="1" bottom="1" header="0.511811023622047" footer="0.511811023622047"/>
  <pageSetup paperSize="9" orientation="portrait" horizontalDpi="300" verticalDpi="300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Visão_Geral</vt:lpstr>
      <vt:lpstr>Resumo_1_Semestre</vt:lpstr>
      <vt:lpstr>Lançamento_Reuniões</vt:lpstr>
      <vt:lpstr>Lançamento_Ligações</vt:lpstr>
      <vt:lpstr>Propostas_Enviadas</vt:lpstr>
      <vt:lpstr>Equipe_SDR</vt:lpstr>
      <vt:lpstr>Listas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:title/>
  <dc:subject/>
  <dc:description/>
  <cp:keywords/>
  <cp:category/>
  <cp:lastModifiedBy>Unknown</cp:lastModifiedBy>
  <cp:contentStatus/>
  <dcterms:created xsi:type="dcterms:W3CDTF">2026-07-08T10:20:04Z</dcterms:created>
  <dcterms:modified xsi:type="dcterms:W3CDTF">2026-07-19T14:07:32Z</dcterms:modified>
</cp:coreProperties>
</file>